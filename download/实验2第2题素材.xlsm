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5480" windowHeight="8250" tabRatio="690"/>
  </bookViews>
  <sheets>
    <sheet name="工资表" sheetId="1" r:id="rId1"/>
    <sheet name="银行卡号" sheetId="11" r:id="rId2"/>
    <sheet name="补贴标准" sheetId="12" r:id="rId3"/>
    <sheet name="补贴发放表" sheetId="10" r:id="rId4"/>
  </sheets>
  <calcPr calcId="145621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2" i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</calcChain>
</file>

<file path=xl/sharedStrings.xml><?xml version="1.0" encoding="utf-8"?>
<sst xmlns="http://schemas.openxmlformats.org/spreadsheetml/2006/main" count="1496" uniqueCount="351">
  <si>
    <t>工号</t>
    <phoneticPr fontId="3" type="noConversion"/>
  </si>
  <si>
    <t>姓 名</t>
  </si>
  <si>
    <t>部门</t>
    <phoneticPr fontId="3" type="noConversion"/>
  </si>
  <si>
    <t>工资</t>
    <phoneticPr fontId="3" type="noConversion"/>
  </si>
  <si>
    <t>张都</t>
  </si>
  <si>
    <t>顾平</t>
  </si>
  <si>
    <t>姜玉娟</t>
  </si>
  <si>
    <t>高利</t>
  </si>
  <si>
    <t>尚明丰</t>
  </si>
  <si>
    <t>王斌</t>
  </si>
  <si>
    <t>吴扬</t>
  </si>
  <si>
    <t>江艳</t>
  </si>
  <si>
    <t>张娣</t>
  </si>
  <si>
    <t>薛宇</t>
  </si>
  <si>
    <t>刘利</t>
  </si>
  <si>
    <t>许飞</t>
  </si>
  <si>
    <t>李粉华</t>
  </si>
  <si>
    <t>黄一锋</t>
  </si>
  <si>
    <t>张伟</t>
  </si>
  <si>
    <t>唐素娟</t>
  </si>
  <si>
    <t>张燕</t>
  </si>
  <si>
    <t>王建华</t>
  </si>
  <si>
    <t>钱园</t>
  </si>
  <si>
    <t>杨云均</t>
  </si>
  <si>
    <t>尹成志</t>
  </si>
  <si>
    <t>华顺美</t>
  </si>
  <si>
    <t>刘明珠</t>
  </si>
  <si>
    <t>阮开祥</t>
  </si>
  <si>
    <t>汤志军</t>
  </si>
  <si>
    <t>纪丽丽</t>
  </si>
  <si>
    <t>陆飞</t>
  </si>
  <si>
    <t>陈伟</t>
  </si>
  <si>
    <t>陈婷</t>
  </si>
  <si>
    <t>陈志刚</t>
  </si>
  <si>
    <t>陈富俊</t>
  </si>
  <si>
    <t>张岩</t>
  </si>
  <si>
    <t>张鑫</t>
  </si>
  <si>
    <t>张学伟</t>
  </si>
  <si>
    <t>李小亚</t>
  </si>
  <si>
    <t>姜洋</t>
  </si>
  <si>
    <t>黄渊</t>
  </si>
  <si>
    <t>章凤云</t>
  </si>
  <si>
    <t>孔祥果</t>
  </si>
  <si>
    <t>王帅</t>
  </si>
  <si>
    <t>王兆钰</t>
  </si>
  <si>
    <t>韦琴</t>
  </si>
  <si>
    <t>冉田</t>
  </si>
  <si>
    <t>刘林依</t>
  </si>
  <si>
    <t>何敏</t>
  </si>
  <si>
    <t>陈峙帆</t>
  </si>
  <si>
    <t>吴超亚</t>
  </si>
  <si>
    <t>宋倩倩</t>
  </si>
  <si>
    <t>张宁</t>
  </si>
  <si>
    <t>李华</t>
  </si>
  <si>
    <t>李宽</t>
  </si>
  <si>
    <t>李毅</t>
  </si>
  <si>
    <t>李宗强</t>
  </si>
  <si>
    <t>时振芳</t>
  </si>
  <si>
    <t>易小楠</t>
  </si>
  <si>
    <t>贾佳</t>
  </si>
  <si>
    <t>孙文晔</t>
  </si>
  <si>
    <t>周文山</t>
  </si>
  <si>
    <t>赵祥超</t>
  </si>
  <si>
    <t>钟永进</t>
  </si>
  <si>
    <t>凌飞</t>
  </si>
  <si>
    <t>周小顺</t>
  </si>
  <si>
    <t>蒋培</t>
  </si>
  <si>
    <t>胡丹</t>
  </si>
  <si>
    <t>马继欣</t>
  </si>
  <si>
    <t>朱志勇</t>
  </si>
  <si>
    <t>朱祥云</t>
  </si>
  <si>
    <t>刘觅</t>
  </si>
  <si>
    <t>汪红</t>
  </si>
  <si>
    <t>李明</t>
  </si>
  <si>
    <t>周子川</t>
  </si>
  <si>
    <t>周作冰</t>
  </si>
  <si>
    <t>黄佳呈</t>
  </si>
  <si>
    <t>曹偲</t>
  </si>
  <si>
    <t>薛媛</t>
  </si>
  <si>
    <t>司彦伟</t>
  </si>
  <si>
    <t>刘伟</t>
  </si>
  <si>
    <t>刘翔</t>
  </si>
  <si>
    <t>张宏</t>
  </si>
  <si>
    <t>张近</t>
  </si>
  <si>
    <t>杨捷</t>
  </si>
  <si>
    <t>李强</t>
  </si>
  <si>
    <t>李雯</t>
  </si>
  <si>
    <t>周曜</t>
  </si>
  <si>
    <t>单兴邦</t>
  </si>
  <si>
    <t>顾里</t>
  </si>
  <si>
    <t>黄建军</t>
  </si>
  <si>
    <t>解悦</t>
  </si>
  <si>
    <t>马彬焱</t>
  </si>
  <si>
    <t>王山花</t>
  </si>
  <si>
    <t>王世栋</t>
  </si>
  <si>
    <t>何本超</t>
  </si>
  <si>
    <t>陈序</t>
  </si>
  <si>
    <t>陈国富</t>
  </si>
  <si>
    <t>杨晔</t>
  </si>
  <si>
    <t>杨明旭</t>
  </si>
  <si>
    <t>杨洋</t>
  </si>
  <si>
    <t>李莹玲</t>
  </si>
  <si>
    <t>侯春花</t>
  </si>
  <si>
    <t>袁文言</t>
  </si>
  <si>
    <t>夏晓青</t>
  </si>
  <si>
    <t>裴灵犀</t>
  </si>
  <si>
    <t>庄立恒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</si>
  <si>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</si>
  <si>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</si>
  <si>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</si>
  <si>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</si>
  <si>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</si>
  <si>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</si>
  <si>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</si>
  <si>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</si>
  <si>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</si>
  <si>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</si>
  <si>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</si>
  <si>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</si>
  <si>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</si>
  <si>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</si>
  <si>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</si>
  <si>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</si>
  <si>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</si>
  <si>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</si>
  <si>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0329</t>
  </si>
  <si>
    <t>0330</t>
  </si>
  <si>
    <t>0404</t>
  </si>
  <si>
    <t>0405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</si>
  <si>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</si>
  <si>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</si>
  <si>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</si>
  <si>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</si>
  <si>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</si>
  <si>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</si>
  <si>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</si>
  <si>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</si>
  <si>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</si>
  <si>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</si>
  <si>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</si>
  <si>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</si>
  <si>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</si>
  <si>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</si>
  <si>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</si>
  <si>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</si>
  <si>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</si>
  <si>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</si>
  <si>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</si>
  <si>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</si>
  <si>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一系</t>
    <phoneticPr fontId="2" type="noConversion"/>
  </si>
  <si>
    <t>四系</t>
    <phoneticPr fontId="2" type="noConversion"/>
  </si>
  <si>
    <t>0202</t>
  </si>
  <si>
    <t>0203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</si>
  <si>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</si>
  <si>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</si>
  <si>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</si>
  <si>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</si>
  <si>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</si>
  <si>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</si>
  <si>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</si>
  <si>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</si>
  <si>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</si>
  <si>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</si>
  <si>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</si>
  <si>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0216</t>
  </si>
  <si>
    <t>0217</t>
  </si>
  <si>
    <t>0218</t>
  </si>
  <si>
    <t>0219</t>
  </si>
  <si>
    <t>0220</t>
  </si>
  <si>
    <t>0221</t>
  </si>
  <si>
    <t>0222</t>
  </si>
  <si>
    <t>0223</t>
  </si>
  <si>
    <t>0224</t>
  </si>
  <si>
    <t>0225</t>
  </si>
  <si>
    <t>0226</t>
  </si>
  <si>
    <t>0227</t>
  </si>
  <si>
    <t>0228</t>
  </si>
  <si>
    <t>0229</t>
  </si>
  <si>
    <t>0230</t>
  </si>
  <si>
    <t>0301</t>
    <phoneticPr fontId="2" type="noConversion"/>
  </si>
  <si>
    <t>0302</t>
  </si>
  <si>
    <t>0303</t>
  </si>
  <si>
    <t>0304</t>
  </si>
  <si>
    <t>0306</t>
  </si>
  <si>
    <t>0307</t>
  </si>
  <si>
    <t>0305</t>
    <phoneticPr fontId="2" type="noConversion"/>
  </si>
  <si>
    <t>0308</t>
  </si>
  <si>
    <t>0309</t>
  </si>
  <si>
    <t>0310</t>
  </si>
  <si>
    <t>0311</t>
  </si>
  <si>
    <t>0312</t>
  </si>
  <si>
    <t>0313</t>
  </si>
  <si>
    <t>0314</t>
  </si>
  <si>
    <t>0315</t>
  </si>
  <si>
    <t>0316</t>
  </si>
  <si>
    <t>0317</t>
  </si>
  <si>
    <t>0318</t>
  </si>
  <si>
    <t>0319</t>
  </si>
  <si>
    <t>0320</t>
  </si>
  <si>
    <t>0321</t>
  </si>
  <si>
    <t>0322</t>
  </si>
  <si>
    <t>0323</t>
  </si>
  <si>
    <t>0324</t>
  </si>
  <si>
    <t>0325</t>
  </si>
  <si>
    <t>0326</t>
  </si>
  <si>
    <t>0327</t>
  </si>
  <si>
    <t>0328</t>
  </si>
  <si>
    <t>0401</t>
    <phoneticPr fontId="2" type="noConversion"/>
  </si>
  <si>
    <t>0402</t>
    <phoneticPr fontId="2" type="noConversion"/>
  </si>
  <si>
    <t>0201</t>
    <phoneticPr fontId="2" type="noConversion"/>
  </si>
  <si>
    <t>二系</t>
    <phoneticPr fontId="2" type="noConversion"/>
  </si>
  <si>
    <t>三系</t>
    <phoneticPr fontId="2" type="noConversion"/>
  </si>
  <si>
    <t>0204</t>
    <phoneticPr fontId="2" type="noConversion"/>
  </si>
  <si>
    <t>0403</t>
    <phoneticPr fontId="2" type="noConversion"/>
  </si>
  <si>
    <t>0406</t>
    <phoneticPr fontId="2" type="noConversion"/>
  </si>
  <si>
    <t>彭军</t>
    <phoneticPr fontId="2" type="noConversion"/>
  </si>
  <si>
    <t>曹鹏</t>
    <phoneticPr fontId="2" type="noConversion"/>
  </si>
  <si>
    <t>0427</t>
    <phoneticPr fontId="2" type="noConversion"/>
  </si>
  <si>
    <t>四系</t>
    <phoneticPr fontId="2" type="noConversion"/>
  </si>
  <si>
    <t>职称</t>
    <phoneticPr fontId="2" type="noConversion"/>
  </si>
  <si>
    <t>副教授</t>
  </si>
  <si>
    <t>教授</t>
  </si>
  <si>
    <t>讲师</t>
  </si>
  <si>
    <t>浦发</t>
  </si>
  <si>
    <t>在职</t>
  </si>
  <si>
    <t>交行</t>
  </si>
  <si>
    <t>序号</t>
    <phoneticPr fontId="3" type="noConversion"/>
  </si>
  <si>
    <t>姓 名</t>
    <phoneticPr fontId="3" type="noConversion"/>
  </si>
  <si>
    <t>工号/学号</t>
    <phoneticPr fontId="3" type="noConversion"/>
  </si>
  <si>
    <t>浦发银行卡号</t>
    <phoneticPr fontId="3" type="noConversion"/>
  </si>
  <si>
    <t>应发金额  ①</t>
    <phoneticPr fontId="3" type="noConversion"/>
  </si>
  <si>
    <t>扣 税  ②</t>
    <phoneticPr fontId="3" type="noConversion"/>
  </si>
  <si>
    <t>实发金额    ③＝①-②</t>
    <phoneticPr fontId="3" type="noConversion"/>
  </si>
  <si>
    <t>备注</t>
    <phoneticPr fontId="3" type="noConversion"/>
  </si>
  <si>
    <t>6225210404677217</t>
  </si>
  <si>
    <t>9843010401288557</t>
  </si>
  <si>
    <t>9843010401369880</t>
  </si>
  <si>
    <t>6217920401302138</t>
  </si>
  <si>
    <t>9843010402353419</t>
  </si>
  <si>
    <t>9843010401857604</t>
  </si>
  <si>
    <t>6225210402974562</t>
  </si>
  <si>
    <t>6217920400167263</t>
  </si>
  <si>
    <t>6225210402179372</t>
  </si>
  <si>
    <t>6225210404187305</t>
  </si>
  <si>
    <t>9843010402317597</t>
  </si>
  <si>
    <t>6225210405595639</t>
  </si>
  <si>
    <t>9843010401466214</t>
  </si>
  <si>
    <t>6225210403497036</t>
  </si>
  <si>
    <t>6225210402822984</t>
  </si>
  <si>
    <t>6225210402103397</t>
  </si>
  <si>
    <t>6225210400417472</t>
  </si>
  <si>
    <t>6225230484132852</t>
  </si>
  <si>
    <t>6217920400411407</t>
  </si>
  <si>
    <t>9843010401121486</t>
  </si>
  <si>
    <t>6217920474491511</t>
  </si>
  <si>
    <t>6225210404689498</t>
  </si>
  <si>
    <t>6217920403401031</t>
  </si>
  <si>
    <t>6225210402203575</t>
  </si>
  <si>
    <t>6222600210467595</t>
  </si>
  <si>
    <t>6225210404914598</t>
  </si>
  <si>
    <t>9843010401872043</t>
  </si>
  <si>
    <t>9843010401731499</t>
  </si>
  <si>
    <t>6217920401299952</t>
  </si>
  <si>
    <t>9843010402869259</t>
  </si>
  <si>
    <t>9843010401814540</t>
  </si>
  <si>
    <t>6225210402239364</t>
  </si>
  <si>
    <t>6217920400672326</t>
  </si>
  <si>
    <t>6225210402831489</t>
  </si>
  <si>
    <t>6225210404325501</t>
  </si>
  <si>
    <t>9843010402681178</t>
  </si>
  <si>
    <t>6225210405322155</t>
  </si>
  <si>
    <t>9843010401984911</t>
  </si>
  <si>
    <t>6225210403733302</t>
  </si>
  <si>
    <t>6225210402586691</t>
  </si>
  <si>
    <t>6225210402136106</t>
  </si>
  <si>
    <t>6225210400605373</t>
  </si>
  <si>
    <t>6225230484276555</t>
  </si>
  <si>
    <t>6217920400215021</t>
  </si>
  <si>
    <t>9843010401546483</t>
  </si>
  <si>
    <t>6217920474503455</t>
  </si>
  <si>
    <t>6225210404984091</t>
  </si>
  <si>
    <t>6217920403984142</t>
  </si>
  <si>
    <t>6225210402310459</t>
  </si>
  <si>
    <t>6222600210328904</t>
  </si>
  <si>
    <t>6225210404977791</t>
  </si>
  <si>
    <t>9843010401151335</t>
  </si>
  <si>
    <t>9843010401381661</t>
  </si>
  <si>
    <t>6217920401160534</t>
  </si>
  <si>
    <t>9843010402163251</t>
  </si>
  <si>
    <t>9843010401314009</t>
  </si>
  <si>
    <t>6225210402298172</t>
  </si>
  <si>
    <t>6217920400571382</t>
  </si>
  <si>
    <t>6225210402386488</t>
  </si>
  <si>
    <t>6225210404883098</t>
  </si>
  <si>
    <t>9843010402671884</t>
  </si>
  <si>
    <t>6225210405819657</t>
  </si>
  <si>
    <t>9843010401648897</t>
  </si>
  <si>
    <t>6225210403583665</t>
  </si>
  <si>
    <t>6225210402148737</t>
  </si>
  <si>
    <t>6225210402439877</t>
  </si>
  <si>
    <t>6225210400860514</t>
  </si>
  <si>
    <t>6225230484239801</t>
  </si>
  <si>
    <t>6217920400669894</t>
  </si>
  <si>
    <t>9843010401300701</t>
  </si>
  <si>
    <t>6217920474881898</t>
  </si>
  <si>
    <t>6225210404315645</t>
  </si>
  <si>
    <t>6217920403439495</t>
  </si>
  <si>
    <t>6225210402599772</t>
  </si>
  <si>
    <t>6222600210329912</t>
  </si>
  <si>
    <t>6225210404545003</t>
  </si>
  <si>
    <t>9843010401859415</t>
  </si>
  <si>
    <t>9843010401969913</t>
  </si>
  <si>
    <t>6217920401709535</t>
  </si>
  <si>
    <t>9843010402769955</t>
  </si>
  <si>
    <t>9843010401972293</t>
  </si>
  <si>
    <t>6225210402741552</t>
  </si>
  <si>
    <t>6217920400721895</t>
  </si>
  <si>
    <t>6225210402719409</t>
  </si>
  <si>
    <t>6225210404597557</t>
  </si>
  <si>
    <t>9843010402912828</t>
  </si>
  <si>
    <t>6225210405395250</t>
  </si>
  <si>
    <t>9843010401849580</t>
  </si>
  <si>
    <t>6225210403581421</t>
  </si>
  <si>
    <t>6225210402692203</t>
  </si>
  <si>
    <t>6225210402159109</t>
  </si>
  <si>
    <t>6225210400736177</t>
  </si>
  <si>
    <t>6225230484627154</t>
  </si>
  <si>
    <t>6217920400323077</t>
  </si>
  <si>
    <t>9843010401670633</t>
  </si>
  <si>
    <t>6217920474917129</t>
  </si>
  <si>
    <t>6225210404463412</t>
  </si>
  <si>
    <t>6217920403723043</t>
  </si>
  <si>
    <t>6225210402606145</t>
  </si>
  <si>
    <t>6225210402904774</t>
  </si>
  <si>
    <t>6225210402365750</t>
  </si>
  <si>
    <t>6225210402484017</t>
  </si>
  <si>
    <t>6225210402976190</t>
  </si>
  <si>
    <t>6225210402766055</t>
  </si>
  <si>
    <t>6225210402489720</t>
  </si>
  <si>
    <t>姓 名</t>
    <phoneticPr fontId="3" type="noConversion"/>
  </si>
  <si>
    <t>卡类型</t>
    <phoneticPr fontId="3" type="noConversion"/>
  </si>
  <si>
    <t>卡号</t>
    <phoneticPr fontId="3" type="noConversion"/>
  </si>
  <si>
    <t>人员类型</t>
    <phoneticPr fontId="3" type="noConversion"/>
  </si>
  <si>
    <t>职称</t>
    <phoneticPr fontId="2" type="noConversion"/>
  </si>
  <si>
    <t>标准</t>
    <phoneticPr fontId="2" type="noConversion"/>
  </si>
  <si>
    <t>补贴</t>
    <phoneticPr fontId="3" type="noConversion"/>
  </si>
  <si>
    <t>离退休</t>
    <phoneticPr fontId="2" type="noConversion"/>
  </si>
  <si>
    <t>离退休</t>
    <phoneticPr fontId="2" type="noConversion"/>
  </si>
  <si>
    <t>实发</t>
    <phoneticPr fontId="3" type="noConversion"/>
  </si>
  <si>
    <t>备注</t>
    <phoneticPr fontId="3" type="noConversion"/>
  </si>
  <si>
    <t>离退休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</si>
</sst>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7" x14ac:knownFonts="1">
    <font>
      <sz val="11"/>
      <color theme="1"/>
      <name val="宋体"/>
      <family val="2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>
      <alignment vertical="center"/>
    </xf>
    <xf numFmtId="0" fontId="5" fillId="0" borderId="0"/>
  </cellStyleXfs>
  <cellXfs count="11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horizontal="center" vertical="center" wrapText="1"/>
    </xf>
  </cellXfs>
  <cellStyles count="3">
    <cellStyle name="常规" xfId="0" builtinId="0"/>
    <cellStyle name="常规 2" xfId="1"/>
    <cellStyle name="常规 4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6"/>
  <sheetViews>
    <sheetView tabSelected="1" workbookViewId="0">
      <selection activeCell="K22" sqref="K22"/>
    </sheetView>
  </sheetViews>
  <sheetFormatPr defaultRowHeight="13.5" x14ac:dyDescent="0.15"/>
  <cols>
    <col min="1" max="1" width="9.625" style="2" customWidth="1"/>
    <col min="2" max="16384" width="9" style="2"/>
  </cols>
  <sheetData>
    <row r="1" spans="1:8" x14ac:dyDescent="0.15">
      <c r="A1" s="1" t="s">
        <v>0</v>
      </c>
      <c r="B1" s="1" t="s">
        <v>1</v>
      </c>
      <c r="C1" s="1" t="s">
        <v>2</v>
      </c>
      <c r="D1" s="1" t="s">
        <v>219</v>
      </c>
      <c r="E1" s="1" t="s">
        <v>3</v>
      </c>
      <c r="F1" s="1" t="s">
        <v>345</v>
      </c>
      <c r="G1" s="1" t="s">
        <v>348</v>
      </c>
      <c r="H1" s="1" t="s">
        <v>349</v>
      </c>
    </row>
    <row r="2" spans="1:8" x14ac:dyDescent="0.15">
      <c r="A2" s="4" t="s">
        <v>209</v>
      </c>
      <c r="B2" s="3" t="s">
        <v>77</v>
      </c>
      <c r="C2" s="3" t="s">
        <v>210</v>
      </c>
      <c r="D2" s="3" t="s">
        <v>220</v>
      </c>
      <c r="E2" s="3">
        <v>4757</v>
      </c>
      <c r="F2" s="3">
        <f>VLOOKUP(D2,补贴标准!$A$2:$B$4,2,FALSE)</f>
        <v>1000</v>
      </c>
      <c r="G2" s="3">
        <f>E2+F2</f>
        <v>5757</v>
      </c>
      <c r="H2" s="8" t="s">
        <v>224</v>
      </c>
    </row>
    <row r="3" spans="1:8" x14ac:dyDescent="0.15">
      <c r="A3" s="4" t="s">
        <v>168</v>
      </c>
      <c r="B3" s="3" t="s">
        <v>96</v>
      </c>
      <c r="C3" s="3" t="s">
        <v>210</v>
      </c>
      <c r="D3" s="3" t="s">
        <v>220</v>
      </c>
      <c r="E3" s="3">
        <v>4547</v>
      </c>
      <c r="F3" s="3">
        <f>VLOOKUP(D3,补贴标准!$A$2:$B$4,2,FALSE)</f>
        <v>1000</v>
      </c>
      <c r="G3" s="3">
        <f t="shared" ref="G3:G66" si="0">E3+F3</f>
        <v>5547</v>
      </c>
      <c r="H3" s="8" t="s">
        <v>224</v>
      </c>
    </row>
    <row r="4" spans="1:8" x14ac:dyDescent="0.15">
      <c r="A4" s="4" t="s">
        <v>161</v>
      </c>
      <c r="B4" s="3" t="s">
        <v>89</v>
      </c>
      <c r="C4" s="3" t="s">
        <v>210</v>
      </c>
      <c r="D4" s="3" t="s">
        <v>220</v>
      </c>
      <c r="E4" s="3">
        <v>4560</v>
      </c>
      <c r="F4" s="3">
        <f>VLOOKUP(D4,补贴标准!$A$2:$B$4,2,FALSE)</f>
        <v>1000</v>
      </c>
      <c r="G4" s="3">
        <f t="shared" si="0"/>
        <v>5560</v>
      </c>
      <c r="H4" s="8" t="s">
        <v>224</v>
      </c>
    </row>
    <row r="5" spans="1:8" x14ac:dyDescent="0.15">
      <c r="A5" s="4" t="s">
        <v>167</v>
      </c>
      <c r="B5" s="3" t="s">
        <v>95</v>
      </c>
      <c r="C5" s="3" t="s">
        <v>210</v>
      </c>
      <c r="D5" s="3" t="s">
        <v>220</v>
      </c>
      <c r="E5" s="3">
        <v>4586</v>
      </c>
      <c r="F5" s="3">
        <f>VLOOKUP(D5,补贴标准!$A$2:$B$4,2,FALSE)</f>
        <v>1000</v>
      </c>
      <c r="G5" s="3">
        <f t="shared" si="0"/>
        <v>5586</v>
      </c>
      <c r="H5" s="8" t="s">
        <v>224</v>
      </c>
    </row>
    <row r="6" spans="1:8" x14ac:dyDescent="0.15">
      <c r="A6" s="4" t="s">
        <v>174</v>
      </c>
      <c r="B6" s="3" t="s">
        <v>102</v>
      </c>
      <c r="C6" s="3" t="s">
        <v>210</v>
      </c>
      <c r="D6" s="3" t="s">
        <v>220</v>
      </c>
      <c r="E6" s="3">
        <v>4615</v>
      </c>
      <c r="F6" s="3">
        <f>VLOOKUP(D6,补贴标准!$A$2:$B$4,2,FALSE)</f>
        <v>1000</v>
      </c>
      <c r="G6" s="3">
        <f t="shared" si="0"/>
        <v>5615</v>
      </c>
      <c r="H6" s="8" t="s">
        <v>224</v>
      </c>
    </row>
    <row r="7" spans="1:8" x14ac:dyDescent="0.15">
      <c r="A7" s="4" t="s">
        <v>162</v>
      </c>
      <c r="B7" s="3" t="s">
        <v>90</v>
      </c>
      <c r="C7" s="3" t="s">
        <v>210</v>
      </c>
      <c r="D7" s="3" t="s">
        <v>220</v>
      </c>
      <c r="E7" s="3">
        <v>4858</v>
      </c>
      <c r="F7" s="3">
        <f>VLOOKUP(D7,补贴标准!$A$2:$B$4,2,FALSE)</f>
        <v>1000</v>
      </c>
      <c r="G7" s="3">
        <f t="shared" si="0"/>
        <v>5858</v>
      </c>
      <c r="H7" s="8" t="s">
        <v>224</v>
      </c>
    </row>
    <row r="8" spans="1:8" x14ac:dyDescent="0.15">
      <c r="A8" s="4" t="s">
        <v>212</v>
      </c>
      <c r="B8" s="3" t="s">
        <v>80</v>
      </c>
      <c r="C8" s="3" t="s">
        <v>210</v>
      </c>
      <c r="D8" s="3" t="s">
        <v>220</v>
      </c>
      <c r="E8" s="3">
        <v>4547</v>
      </c>
      <c r="F8" s="3">
        <f>VLOOKUP(D8,补贴标准!$A$2:$B$4,2,FALSE)</f>
        <v>1000</v>
      </c>
      <c r="G8" s="3">
        <f t="shared" si="0"/>
        <v>5547</v>
      </c>
      <c r="H8" s="8" t="s">
        <v>224</v>
      </c>
    </row>
    <row r="9" spans="1:8" x14ac:dyDescent="0.15">
      <c r="A9" s="4" t="s">
        <v>164</v>
      </c>
      <c r="B9" s="3" t="s">
        <v>92</v>
      </c>
      <c r="C9" s="3" t="s">
        <v>210</v>
      </c>
      <c r="D9" s="3" t="s">
        <v>220</v>
      </c>
      <c r="E9" s="3">
        <v>4615</v>
      </c>
      <c r="F9" s="3">
        <f>VLOOKUP(D9,补贴标准!$A$2:$B$4,2,FALSE)</f>
        <v>1000</v>
      </c>
      <c r="G9" s="3">
        <f t="shared" si="0"/>
        <v>5615</v>
      </c>
      <c r="H9" s="8" t="s">
        <v>224</v>
      </c>
    </row>
    <row r="10" spans="1:8" x14ac:dyDescent="0.15">
      <c r="A10" s="4" t="s">
        <v>177</v>
      </c>
      <c r="B10" s="3" t="s">
        <v>105</v>
      </c>
      <c r="C10" s="3" t="s">
        <v>210</v>
      </c>
      <c r="D10" s="3" t="s">
        <v>220</v>
      </c>
      <c r="E10" s="3">
        <v>4586</v>
      </c>
      <c r="F10" s="3">
        <f>VLOOKUP(D10,补贴标准!$A$2:$B$4,2,FALSE)</f>
        <v>1000</v>
      </c>
      <c r="G10" s="3">
        <f t="shared" si="0"/>
        <v>5586</v>
      </c>
      <c r="H10" s="8" t="s">
        <v>224</v>
      </c>
    </row>
    <row r="11" spans="1:8" x14ac:dyDescent="0.15">
      <c r="A11" s="4" t="s">
        <v>152</v>
      </c>
      <c r="B11" s="3" t="s">
        <v>79</v>
      </c>
      <c r="C11" s="3" t="s">
        <v>210</v>
      </c>
      <c r="D11" s="3" t="s">
        <v>220</v>
      </c>
      <c r="E11" s="3">
        <v>4586</v>
      </c>
      <c r="F11" s="3">
        <f>VLOOKUP(D11,补贴标准!$A$2:$B$4,2,FALSE)</f>
        <v>1000</v>
      </c>
      <c r="G11" s="3">
        <f t="shared" si="0"/>
        <v>5586</v>
      </c>
      <c r="H11" s="8" t="s">
        <v>224</v>
      </c>
    </row>
    <row r="12" spans="1:8" x14ac:dyDescent="0.15">
      <c r="A12" s="4" t="s">
        <v>165</v>
      </c>
      <c r="B12" s="3" t="s">
        <v>93</v>
      </c>
      <c r="C12" s="3" t="s">
        <v>210</v>
      </c>
      <c r="D12" s="3" t="s">
        <v>220</v>
      </c>
      <c r="E12" s="3">
        <v>4757</v>
      </c>
      <c r="F12" s="3">
        <f>VLOOKUP(D12,补贴标准!$A$2:$B$4,2,FALSE)</f>
        <v>1000</v>
      </c>
      <c r="G12" s="3">
        <f t="shared" si="0"/>
        <v>5757</v>
      </c>
      <c r="H12" s="8" t="s">
        <v>224</v>
      </c>
    </row>
    <row r="13" spans="1:8" x14ac:dyDescent="0.15">
      <c r="A13" s="4" t="s">
        <v>166</v>
      </c>
      <c r="B13" s="3" t="s">
        <v>94</v>
      </c>
      <c r="C13" s="3" t="s">
        <v>210</v>
      </c>
      <c r="D13" s="3" t="s">
        <v>220</v>
      </c>
      <c r="E13" s="3">
        <v>4704</v>
      </c>
      <c r="F13" s="3">
        <f>VLOOKUP(D13,补贴标准!$A$2:$B$4,2,FALSE)</f>
        <v>1000</v>
      </c>
      <c r="G13" s="3">
        <f t="shared" si="0"/>
        <v>5704</v>
      </c>
      <c r="H13" s="8" t="s">
        <v>224</v>
      </c>
    </row>
    <row r="14" spans="1:8" x14ac:dyDescent="0.15">
      <c r="A14" s="4" t="s">
        <v>176</v>
      </c>
      <c r="B14" s="3" t="s">
        <v>104</v>
      </c>
      <c r="C14" s="3" t="s">
        <v>210</v>
      </c>
      <c r="D14" s="3" t="s">
        <v>220</v>
      </c>
      <c r="E14" s="3">
        <v>4704</v>
      </c>
      <c r="F14" s="3">
        <f>VLOOKUP(D14,补贴标准!$A$2:$B$4,2,FALSE)</f>
        <v>1000</v>
      </c>
      <c r="G14" s="3">
        <f t="shared" si="0"/>
        <v>5704</v>
      </c>
      <c r="H14" s="8" t="s">
        <v>224</v>
      </c>
    </row>
    <row r="15" spans="1:8" x14ac:dyDescent="0.15">
      <c r="A15" s="4" t="s">
        <v>151</v>
      </c>
      <c r="B15" s="3" t="s">
        <v>78</v>
      </c>
      <c r="C15" s="3" t="s">
        <v>210</v>
      </c>
      <c r="D15" s="3" t="s">
        <v>220</v>
      </c>
      <c r="E15" s="3">
        <v>4704</v>
      </c>
      <c r="F15" s="3">
        <f>VLOOKUP(D15,补贴标准!$A$2:$B$4,2,FALSE)</f>
        <v>1000</v>
      </c>
      <c r="G15" s="3">
        <f t="shared" si="0"/>
        <v>5704</v>
      </c>
      <c r="H15" s="8" t="s">
        <v>224</v>
      </c>
    </row>
    <row r="16" spans="1:8" x14ac:dyDescent="0.15">
      <c r="A16" s="4" t="s">
        <v>171</v>
      </c>
      <c r="B16" s="3" t="s">
        <v>99</v>
      </c>
      <c r="C16" s="3" t="s">
        <v>210</v>
      </c>
      <c r="D16" s="3" t="s">
        <v>220</v>
      </c>
      <c r="E16" s="3">
        <v>4560</v>
      </c>
      <c r="F16" s="3">
        <f>VLOOKUP(D16,补贴标准!$A$2:$B$4,2,FALSE)</f>
        <v>1000</v>
      </c>
      <c r="G16" s="3">
        <f t="shared" si="0"/>
        <v>5560</v>
      </c>
      <c r="H16" s="8" t="s">
        <v>224</v>
      </c>
    </row>
    <row r="17" spans="1:8" x14ac:dyDescent="0.15">
      <c r="A17" s="4" t="s">
        <v>172</v>
      </c>
      <c r="B17" s="3" t="s">
        <v>100</v>
      </c>
      <c r="C17" s="3" t="s">
        <v>210</v>
      </c>
      <c r="D17" s="3" t="s">
        <v>220</v>
      </c>
      <c r="E17" s="3">
        <v>4858</v>
      </c>
      <c r="F17" s="3">
        <f>VLOOKUP(D17,补贴标准!$A$2:$B$4,2,FALSE)</f>
        <v>1000</v>
      </c>
      <c r="G17" s="3">
        <f t="shared" si="0"/>
        <v>5858</v>
      </c>
      <c r="H17" s="8" t="s">
        <v>224</v>
      </c>
    </row>
    <row r="18" spans="1:8" x14ac:dyDescent="0.15">
      <c r="A18" s="4" t="s">
        <v>175</v>
      </c>
      <c r="B18" s="3" t="s">
        <v>103</v>
      </c>
      <c r="C18" s="3" t="s">
        <v>210</v>
      </c>
      <c r="D18" s="3" t="s">
        <v>220</v>
      </c>
      <c r="E18" s="3">
        <v>4757</v>
      </c>
      <c r="F18" s="3">
        <f>VLOOKUP(D18,补贴标准!$A$2:$B$4,2,FALSE)</f>
        <v>1000</v>
      </c>
      <c r="G18" s="3">
        <f t="shared" si="0"/>
        <v>5757</v>
      </c>
      <c r="H18" s="8" t="s">
        <v>224</v>
      </c>
    </row>
    <row r="19" spans="1:8" x14ac:dyDescent="0.15">
      <c r="A19" s="4" t="s">
        <v>178</v>
      </c>
      <c r="B19" s="3" t="s">
        <v>106</v>
      </c>
      <c r="C19" s="3" t="s">
        <v>210</v>
      </c>
      <c r="D19" s="3" t="s">
        <v>220</v>
      </c>
      <c r="E19" s="3">
        <v>4547</v>
      </c>
      <c r="F19" s="3">
        <f>VLOOKUP(D19,补贴标准!$A$2:$B$4,2,FALSE)</f>
        <v>1000</v>
      </c>
      <c r="G19" s="3">
        <f t="shared" si="0"/>
        <v>5547</v>
      </c>
      <c r="H19" s="8" t="s">
        <v>224</v>
      </c>
    </row>
    <row r="20" spans="1:8" x14ac:dyDescent="0.15">
      <c r="A20" s="4" t="s">
        <v>180</v>
      </c>
      <c r="B20" s="3" t="s">
        <v>5</v>
      </c>
      <c r="C20" s="3" t="s">
        <v>211</v>
      </c>
      <c r="D20" s="3" t="s">
        <v>220</v>
      </c>
      <c r="E20" s="3">
        <v>4640</v>
      </c>
      <c r="F20" s="3">
        <f>VLOOKUP(D20,补贴标准!$A$2:$B$4,2,FALSE)</f>
        <v>1000</v>
      </c>
      <c r="G20" s="3">
        <f t="shared" si="0"/>
        <v>5640</v>
      </c>
      <c r="H20" s="8" t="s">
        <v>224</v>
      </c>
    </row>
    <row r="21" spans="1:8" x14ac:dyDescent="0.15">
      <c r="A21" s="4" t="s">
        <v>200</v>
      </c>
      <c r="B21" s="3" t="s">
        <v>25</v>
      </c>
      <c r="C21" s="3" t="s">
        <v>211</v>
      </c>
      <c r="D21" s="3" t="s">
        <v>220</v>
      </c>
      <c r="E21" s="3">
        <v>4757</v>
      </c>
      <c r="F21" s="3">
        <f>VLOOKUP(D21,补贴标准!$A$2:$B$4,2,FALSE)</f>
        <v>1000</v>
      </c>
      <c r="G21" s="3">
        <f t="shared" si="0"/>
        <v>5757</v>
      </c>
      <c r="H21" s="8" t="s">
        <v>224</v>
      </c>
    </row>
    <row r="22" spans="1:8" x14ac:dyDescent="0.15">
      <c r="A22" s="4" t="s">
        <v>192</v>
      </c>
      <c r="B22" s="3" t="s">
        <v>17</v>
      </c>
      <c r="C22" s="3" t="s">
        <v>211</v>
      </c>
      <c r="D22" s="3" t="s">
        <v>220</v>
      </c>
      <c r="E22" s="3">
        <v>4586</v>
      </c>
      <c r="F22" s="3">
        <f>VLOOKUP(D22,补贴标准!$A$2:$B$4,2,FALSE)</f>
        <v>1000</v>
      </c>
      <c r="G22" s="3">
        <f t="shared" si="0"/>
        <v>5586</v>
      </c>
      <c r="H22" s="8" t="s">
        <v>224</v>
      </c>
    </row>
    <row r="23" spans="1:8" x14ac:dyDescent="0.15">
      <c r="A23" s="4" t="s">
        <v>186</v>
      </c>
      <c r="B23" s="3" t="s">
        <v>11</v>
      </c>
      <c r="C23" s="3" t="s">
        <v>211</v>
      </c>
      <c r="D23" s="3" t="s">
        <v>220</v>
      </c>
      <c r="E23" s="3">
        <v>4560</v>
      </c>
      <c r="F23" s="3">
        <f>VLOOKUP(D23,补贴标准!$A$2:$B$4,2,FALSE)</f>
        <v>1000</v>
      </c>
      <c r="G23" s="3">
        <f t="shared" si="0"/>
        <v>5560</v>
      </c>
      <c r="H23" s="8" t="s">
        <v>224</v>
      </c>
    </row>
    <row r="24" spans="1:8" x14ac:dyDescent="0.15">
      <c r="A24" s="4" t="s">
        <v>181</v>
      </c>
      <c r="B24" s="3" t="s">
        <v>6</v>
      </c>
      <c r="C24" s="3" t="s">
        <v>211</v>
      </c>
      <c r="D24" s="3" t="s">
        <v>220</v>
      </c>
      <c r="E24" s="3">
        <v>4858</v>
      </c>
      <c r="F24" s="3">
        <f>VLOOKUP(D24,补贴标准!$A$2:$B$4,2,FALSE)</f>
        <v>1000</v>
      </c>
      <c r="G24" s="3">
        <f t="shared" si="0"/>
        <v>5858</v>
      </c>
      <c r="H24" s="8" t="s">
        <v>224</v>
      </c>
    </row>
    <row r="25" spans="1:8" x14ac:dyDescent="0.15">
      <c r="A25" s="4" t="s">
        <v>191</v>
      </c>
      <c r="B25" s="3" t="s">
        <v>16</v>
      </c>
      <c r="C25" s="3" t="s">
        <v>211</v>
      </c>
      <c r="D25" s="3" t="s">
        <v>220</v>
      </c>
      <c r="E25" s="3">
        <v>4704</v>
      </c>
      <c r="F25" s="3">
        <f>VLOOKUP(D25,补贴标准!$A$2:$B$4,2,FALSE)</f>
        <v>1000</v>
      </c>
      <c r="G25" s="3">
        <f t="shared" si="0"/>
        <v>5704</v>
      </c>
      <c r="H25" s="8" t="s">
        <v>224</v>
      </c>
    </row>
    <row r="26" spans="1:8" x14ac:dyDescent="0.15">
      <c r="A26" s="4" t="s">
        <v>189</v>
      </c>
      <c r="B26" s="3" t="s">
        <v>14</v>
      </c>
      <c r="C26" s="3" t="s">
        <v>211</v>
      </c>
      <c r="D26" s="3" t="s">
        <v>220</v>
      </c>
      <c r="E26" s="3">
        <v>4615</v>
      </c>
      <c r="F26" s="3">
        <f>VLOOKUP(D26,补贴标准!$A$2:$B$4,2,FALSE)</f>
        <v>1000</v>
      </c>
      <c r="G26" s="3">
        <f t="shared" si="0"/>
        <v>5615</v>
      </c>
      <c r="H26" s="8" t="s">
        <v>346</v>
      </c>
    </row>
    <row r="27" spans="1:8" x14ac:dyDescent="0.15">
      <c r="A27" s="4" t="s">
        <v>201</v>
      </c>
      <c r="B27" s="3" t="s">
        <v>26</v>
      </c>
      <c r="C27" s="3" t="s">
        <v>211</v>
      </c>
      <c r="D27" s="3" t="s">
        <v>220</v>
      </c>
      <c r="E27" s="3">
        <v>4704</v>
      </c>
      <c r="F27" s="3">
        <f>VLOOKUP(D27,补贴标准!$A$2:$B$4,2,FALSE)</f>
        <v>1000</v>
      </c>
      <c r="G27" s="3">
        <f t="shared" si="0"/>
        <v>5704</v>
      </c>
      <c r="H27" s="8" t="s">
        <v>224</v>
      </c>
    </row>
    <row r="28" spans="1:8" x14ac:dyDescent="0.15">
      <c r="A28" s="4" t="s">
        <v>197</v>
      </c>
      <c r="B28" s="3" t="s">
        <v>22</v>
      </c>
      <c r="C28" s="3" t="s">
        <v>211</v>
      </c>
      <c r="D28" s="3" t="s">
        <v>220</v>
      </c>
      <c r="E28" s="3">
        <v>4858</v>
      </c>
      <c r="F28" s="3">
        <f>VLOOKUP(D28,补贴标准!$A$2:$B$4,2,FALSE)</f>
        <v>1000</v>
      </c>
      <c r="G28" s="3">
        <f t="shared" si="0"/>
        <v>5858</v>
      </c>
      <c r="H28" s="8" t="s">
        <v>224</v>
      </c>
    </row>
    <row r="29" spans="1:8" x14ac:dyDescent="0.15">
      <c r="A29" s="4" t="s">
        <v>202</v>
      </c>
      <c r="B29" s="3" t="s">
        <v>27</v>
      </c>
      <c r="C29" s="3" t="s">
        <v>211</v>
      </c>
      <c r="D29" s="3" t="s">
        <v>220</v>
      </c>
      <c r="E29" s="3">
        <v>4586</v>
      </c>
      <c r="F29" s="3">
        <f>VLOOKUP(D29,补贴标准!$A$2:$B$4,2,FALSE)</f>
        <v>1000</v>
      </c>
      <c r="G29" s="3">
        <f t="shared" si="0"/>
        <v>5586</v>
      </c>
      <c r="H29" s="8" t="s">
        <v>224</v>
      </c>
    </row>
    <row r="30" spans="1:8" x14ac:dyDescent="0.15">
      <c r="A30" s="4" t="s">
        <v>185</v>
      </c>
      <c r="B30" s="3" t="s">
        <v>8</v>
      </c>
      <c r="C30" s="3" t="s">
        <v>211</v>
      </c>
      <c r="D30" s="3" t="s">
        <v>220</v>
      </c>
      <c r="E30" s="3">
        <v>4519</v>
      </c>
      <c r="F30" s="3">
        <f>VLOOKUP(D30,补贴标准!$A$2:$B$4,2,FALSE)</f>
        <v>1000</v>
      </c>
      <c r="G30" s="3">
        <f t="shared" si="0"/>
        <v>5519</v>
      </c>
      <c r="H30" s="8" t="s">
        <v>224</v>
      </c>
    </row>
    <row r="31" spans="1:8" x14ac:dyDescent="0.15">
      <c r="A31" s="4" t="s">
        <v>203</v>
      </c>
      <c r="B31" s="3" t="s">
        <v>28</v>
      </c>
      <c r="C31" s="3" t="s">
        <v>211</v>
      </c>
      <c r="D31" s="3" t="s">
        <v>220</v>
      </c>
      <c r="E31" s="3">
        <v>4547</v>
      </c>
      <c r="F31" s="3">
        <f>VLOOKUP(D31,补贴标准!$A$2:$B$4,2,FALSE)</f>
        <v>1000</v>
      </c>
      <c r="G31" s="3">
        <f t="shared" si="0"/>
        <v>5547</v>
      </c>
      <c r="H31" s="8" t="s">
        <v>224</v>
      </c>
    </row>
    <row r="32" spans="1:8" x14ac:dyDescent="0.15">
      <c r="A32" s="4" t="s">
        <v>196</v>
      </c>
      <c r="B32" s="3" t="s">
        <v>21</v>
      </c>
      <c r="C32" s="3" t="s">
        <v>211</v>
      </c>
      <c r="D32" s="3" t="s">
        <v>220</v>
      </c>
      <c r="E32" s="3">
        <v>4560</v>
      </c>
      <c r="F32" s="3">
        <f>VLOOKUP(D32,补贴标准!$A$2:$B$4,2,FALSE)</f>
        <v>1000</v>
      </c>
      <c r="G32" s="3">
        <f t="shared" si="0"/>
        <v>5560</v>
      </c>
      <c r="H32" s="8" t="s">
        <v>224</v>
      </c>
    </row>
    <row r="33" spans="1:8" x14ac:dyDescent="0.15">
      <c r="A33" s="4" t="s">
        <v>190</v>
      </c>
      <c r="B33" s="3" t="s">
        <v>15</v>
      </c>
      <c r="C33" s="3" t="s">
        <v>211</v>
      </c>
      <c r="D33" s="3" t="s">
        <v>220</v>
      </c>
      <c r="E33" s="3">
        <v>4757</v>
      </c>
      <c r="F33" s="3">
        <f>VLOOKUP(D33,补贴标准!$A$2:$B$4,2,FALSE)</f>
        <v>1000</v>
      </c>
      <c r="G33" s="3">
        <f t="shared" si="0"/>
        <v>5757</v>
      </c>
      <c r="H33" s="8" t="s">
        <v>224</v>
      </c>
    </row>
    <row r="34" spans="1:8" x14ac:dyDescent="0.15">
      <c r="A34" s="4" t="s">
        <v>199</v>
      </c>
      <c r="B34" s="3" t="s">
        <v>24</v>
      </c>
      <c r="C34" s="3" t="s">
        <v>211</v>
      </c>
      <c r="D34" s="3" t="s">
        <v>220</v>
      </c>
      <c r="E34" s="3">
        <v>4615</v>
      </c>
      <c r="F34" s="3">
        <f>VLOOKUP(D34,补贴标准!$A$2:$B$4,2,FALSE)</f>
        <v>1000</v>
      </c>
      <c r="G34" s="3">
        <f t="shared" si="0"/>
        <v>5615</v>
      </c>
      <c r="H34" s="8" t="s">
        <v>224</v>
      </c>
    </row>
    <row r="35" spans="1:8" x14ac:dyDescent="0.15">
      <c r="A35" s="4" t="s">
        <v>187</v>
      </c>
      <c r="B35" s="3" t="s">
        <v>12</v>
      </c>
      <c r="C35" s="3" t="s">
        <v>211</v>
      </c>
      <c r="D35" s="3" t="s">
        <v>220</v>
      </c>
      <c r="E35" s="3">
        <v>4858</v>
      </c>
      <c r="F35" s="3">
        <f>VLOOKUP(D35,补贴标准!$A$2:$B$4,2,FALSE)</f>
        <v>1000</v>
      </c>
      <c r="G35" s="3">
        <f t="shared" si="0"/>
        <v>5858</v>
      </c>
      <c r="H35" s="8" t="s">
        <v>224</v>
      </c>
    </row>
    <row r="36" spans="1:8" x14ac:dyDescent="0.15">
      <c r="A36" s="4" t="s">
        <v>179</v>
      </c>
      <c r="B36" s="3" t="s">
        <v>4</v>
      </c>
      <c r="C36" s="3" t="s">
        <v>211</v>
      </c>
      <c r="D36" s="3" t="s">
        <v>220</v>
      </c>
      <c r="E36" s="3">
        <v>4654</v>
      </c>
      <c r="F36" s="3">
        <f>VLOOKUP(D36,补贴标准!$A$2:$B$4,2,FALSE)</f>
        <v>1000</v>
      </c>
      <c r="G36" s="3">
        <f t="shared" si="0"/>
        <v>5654</v>
      </c>
      <c r="H36" s="8" t="s">
        <v>224</v>
      </c>
    </row>
    <row r="37" spans="1:8" x14ac:dyDescent="0.15">
      <c r="A37" s="4" t="s">
        <v>193</v>
      </c>
      <c r="B37" s="3" t="s">
        <v>18</v>
      </c>
      <c r="C37" s="3" t="s">
        <v>211</v>
      </c>
      <c r="D37" s="3" t="s">
        <v>220</v>
      </c>
      <c r="E37" s="3">
        <v>4547</v>
      </c>
      <c r="F37" s="3">
        <f>VLOOKUP(D37,补贴标准!$A$2:$B$4,2,FALSE)</f>
        <v>1000</v>
      </c>
      <c r="G37" s="3">
        <f t="shared" si="0"/>
        <v>5547</v>
      </c>
      <c r="H37" s="8" t="s">
        <v>224</v>
      </c>
    </row>
    <row r="38" spans="1:8" x14ac:dyDescent="0.15">
      <c r="A38" s="4" t="s">
        <v>217</v>
      </c>
      <c r="B38" s="3" t="s">
        <v>216</v>
      </c>
      <c r="C38" s="3" t="s">
        <v>218</v>
      </c>
      <c r="D38" s="3" t="s">
        <v>220</v>
      </c>
      <c r="E38" s="3">
        <v>4615</v>
      </c>
      <c r="F38" s="3">
        <f>VLOOKUP(D38,补贴标准!$A$2:$B$4,2,FALSE)</f>
        <v>1000</v>
      </c>
      <c r="G38" s="3">
        <f t="shared" si="0"/>
        <v>5615</v>
      </c>
      <c r="H38" s="8" t="s">
        <v>224</v>
      </c>
    </row>
    <row r="39" spans="1:8" x14ac:dyDescent="0.15">
      <c r="A39" s="4" t="s">
        <v>207</v>
      </c>
      <c r="B39" s="3" t="s">
        <v>34</v>
      </c>
      <c r="C39" s="3" t="s">
        <v>150</v>
      </c>
      <c r="D39" s="3" t="s">
        <v>220</v>
      </c>
      <c r="E39" s="3">
        <v>4560</v>
      </c>
      <c r="F39" s="3">
        <f>VLOOKUP(D39,补贴标准!$A$2:$B$4,2,FALSE)</f>
        <v>1000</v>
      </c>
      <c r="G39" s="3">
        <f t="shared" si="0"/>
        <v>5560</v>
      </c>
      <c r="H39" s="8" t="s">
        <v>224</v>
      </c>
    </row>
    <row r="40" spans="1:8" x14ac:dyDescent="0.15">
      <c r="A40" s="4" t="s">
        <v>137</v>
      </c>
      <c r="B40" s="3" t="s">
        <v>48</v>
      </c>
      <c r="C40" s="3" t="s">
        <v>150</v>
      </c>
      <c r="D40" s="3" t="s">
        <v>220</v>
      </c>
      <c r="E40" s="3">
        <v>4858</v>
      </c>
      <c r="F40" s="3">
        <f>VLOOKUP(D40,补贴标准!$A$2:$B$4,2,FALSE)</f>
        <v>1000</v>
      </c>
      <c r="G40" s="3">
        <f t="shared" si="0"/>
        <v>5858</v>
      </c>
      <c r="H40" s="8" t="s">
        <v>224</v>
      </c>
    </row>
    <row r="41" spans="1:8" x14ac:dyDescent="0.15">
      <c r="A41" s="4" t="s">
        <v>129</v>
      </c>
      <c r="B41" s="3" t="s">
        <v>40</v>
      </c>
      <c r="C41" s="3" t="s">
        <v>150</v>
      </c>
      <c r="D41" s="3" t="s">
        <v>220</v>
      </c>
      <c r="E41" s="3">
        <v>4586</v>
      </c>
      <c r="F41" s="3">
        <f>VLOOKUP(D41,补贴标准!$A$2:$B$4,2,FALSE)</f>
        <v>1000</v>
      </c>
      <c r="G41" s="3">
        <f t="shared" si="0"/>
        <v>5586</v>
      </c>
      <c r="H41" s="8" t="s">
        <v>224</v>
      </c>
    </row>
    <row r="42" spans="1:8" x14ac:dyDescent="0.15">
      <c r="A42" s="4" t="s">
        <v>148</v>
      </c>
      <c r="B42" s="3" t="s">
        <v>59</v>
      </c>
      <c r="C42" s="3" t="s">
        <v>150</v>
      </c>
      <c r="D42" s="3" t="s">
        <v>220</v>
      </c>
      <c r="E42" s="3">
        <v>4595</v>
      </c>
      <c r="F42" s="3">
        <f>VLOOKUP(D42,补贴标准!$A$2:$B$4,2,FALSE)</f>
        <v>1000</v>
      </c>
      <c r="G42" s="3">
        <f t="shared" si="0"/>
        <v>5595</v>
      </c>
      <c r="H42" s="8" t="s">
        <v>224</v>
      </c>
    </row>
    <row r="43" spans="1:8" x14ac:dyDescent="0.15">
      <c r="A43" s="4" t="s">
        <v>214</v>
      </c>
      <c r="B43" s="3" t="s">
        <v>39</v>
      </c>
      <c r="C43" s="3" t="s">
        <v>150</v>
      </c>
      <c r="D43" s="3" t="s">
        <v>220</v>
      </c>
      <c r="E43" s="3">
        <v>4704</v>
      </c>
      <c r="F43" s="3">
        <f>VLOOKUP(D43,补贴标准!$A$2:$B$4,2,FALSE)</f>
        <v>1000</v>
      </c>
      <c r="G43" s="3">
        <f t="shared" si="0"/>
        <v>5704</v>
      </c>
      <c r="H43" s="8" t="s">
        <v>224</v>
      </c>
    </row>
    <row r="44" spans="1:8" x14ac:dyDescent="0.15">
      <c r="A44" s="4" t="s">
        <v>142</v>
      </c>
      <c r="B44" s="3" t="s">
        <v>53</v>
      </c>
      <c r="C44" s="3" t="s">
        <v>150</v>
      </c>
      <c r="D44" s="3" t="s">
        <v>220</v>
      </c>
      <c r="E44" s="3">
        <v>4586</v>
      </c>
      <c r="F44" s="3">
        <f>VLOOKUP(D44,补贴标准!$A$2:$B$4,2,FALSE)</f>
        <v>1000</v>
      </c>
      <c r="G44" s="3">
        <f t="shared" si="0"/>
        <v>5586</v>
      </c>
      <c r="H44" s="8" t="s">
        <v>224</v>
      </c>
    </row>
    <row r="45" spans="1:8" x14ac:dyDescent="0.15">
      <c r="A45" s="4" t="s">
        <v>143</v>
      </c>
      <c r="B45" s="3" t="s">
        <v>54</v>
      </c>
      <c r="C45" s="3" t="s">
        <v>150</v>
      </c>
      <c r="D45" s="3" t="s">
        <v>220</v>
      </c>
      <c r="E45" s="3">
        <v>4547</v>
      </c>
      <c r="F45" s="3">
        <f>VLOOKUP(D45,补贴标准!$A$2:$B$4,2,FALSE)</f>
        <v>1000</v>
      </c>
      <c r="G45" s="3">
        <f t="shared" si="0"/>
        <v>5547</v>
      </c>
      <c r="H45" s="8" t="s">
        <v>224</v>
      </c>
    </row>
    <row r="46" spans="1:8" x14ac:dyDescent="0.15">
      <c r="A46" s="4" t="s">
        <v>128</v>
      </c>
      <c r="B46" s="3" t="s">
        <v>38</v>
      </c>
      <c r="C46" s="3" t="s">
        <v>150</v>
      </c>
      <c r="D46" s="3" t="s">
        <v>220</v>
      </c>
      <c r="E46" s="3">
        <v>4757</v>
      </c>
      <c r="F46" s="3">
        <f>VLOOKUP(D46,补贴标准!$A$2:$B$4,2,FALSE)</f>
        <v>1000</v>
      </c>
      <c r="G46" s="3">
        <f t="shared" si="0"/>
        <v>5757</v>
      </c>
      <c r="H46" s="8" t="s">
        <v>224</v>
      </c>
    </row>
    <row r="47" spans="1:8" x14ac:dyDescent="0.15">
      <c r="A47" s="4" t="s">
        <v>144</v>
      </c>
      <c r="B47" s="3" t="s">
        <v>55</v>
      </c>
      <c r="C47" s="3" t="s">
        <v>150</v>
      </c>
      <c r="D47" s="3" t="s">
        <v>220</v>
      </c>
      <c r="E47" s="3">
        <v>4660</v>
      </c>
      <c r="F47" s="3">
        <f>VLOOKUP(D47,补贴标准!$A$2:$B$4,2,FALSE)</f>
        <v>1000</v>
      </c>
      <c r="G47" s="3">
        <f t="shared" si="0"/>
        <v>5660</v>
      </c>
      <c r="H47" s="8" t="s">
        <v>224</v>
      </c>
    </row>
    <row r="48" spans="1:8" x14ac:dyDescent="0.15">
      <c r="A48" s="4" t="s">
        <v>136</v>
      </c>
      <c r="B48" s="3" t="s">
        <v>47</v>
      </c>
      <c r="C48" s="3" t="s">
        <v>150</v>
      </c>
      <c r="D48" s="3" t="s">
        <v>220</v>
      </c>
      <c r="E48" s="3">
        <v>4560</v>
      </c>
      <c r="F48" s="3">
        <f>VLOOKUP(D48,补贴标准!$A$2:$B$4,2,FALSE)</f>
        <v>1000</v>
      </c>
      <c r="G48" s="3">
        <f t="shared" si="0"/>
        <v>5560</v>
      </c>
      <c r="H48" s="8" t="s">
        <v>224</v>
      </c>
    </row>
    <row r="49" spans="1:8" x14ac:dyDescent="0.15">
      <c r="A49" s="4" t="s">
        <v>146</v>
      </c>
      <c r="B49" s="3" t="s">
        <v>57</v>
      </c>
      <c r="C49" s="3" t="s">
        <v>150</v>
      </c>
      <c r="D49" s="3" t="s">
        <v>220</v>
      </c>
      <c r="E49" s="3">
        <v>4665</v>
      </c>
      <c r="F49" s="3">
        <f>VLOOKUP(D49,补贴标准!$A$2:$B$4,2,FALSE)</f>
        <v>1000</v>
      </c>
      <c r="G49" s="3">
        <f t="shared" si="0"/>
        <v>5665</v>
      </c>
      <c r="H49" s="8" t="s">
        <v>224</v>
      </c>
    </row>
    <row r="50" spans="1:8" x14ac:dyDescent="0.15">
      <c r="A50" s="4" t="s">
        <v>140</v>
      </c>
      <c r="B50" s="3" t="s">
        <v>51</v>
      </c>
      <c r="C50" s="3" t="s">
        <v>150</v>
      </c>
      <c r="D50" s="3" t="s">
        <v>220</v>
      </c>
      <c r="E50" s="3">
        <v>4757</v>
      </c>
      <c r="F50" s="3">
        <f>VLOOKUP(D50,补贴标准!$A$2:$B$4,2,FALSE)</f>
        <v>1000</v>
      </c>
      <c r="G50" s="3">
        <f t="shared" si="0"/>
        <v>5757</v>
      </c>
      <c r="H50" s="8" t="s">
        <v>224</v>
      </c>
    </row>
    <row r="51" spans="1:8" x14ac:dyDescent="0.15">
      <c r="A51" s="4" t="s">
        <v>132</v>
      </c>
      <c r="B51" s="3" t="s">
        <v>43</v>
      </c>
      <c r="C51" s="3" t="s">
        <v>150</v>
      </c>
      <c r="D51" s="3" t="s">
        <v>220</v>
      </c>
      <c r="E51" s="3">
        <v>4665</v>
      </c>
      <c r="F51" s="3">
        <f>VLOOKUP(D51,补贴标准!$A$2:$B$4,2,FALSE)</f>
        <v>1000</v>
      </c>
      <c r="G51" s="3">
        <f t="shared" si="0"/>
        <v>5665</v>
      </c>
      <c r="H51" s="8" t="s">
        <v>224</v>
      </c>
    </row>
    <row r="52" spans="1:8" x14ac:dyDescent="0.15">
      <c r="A52" s="4" t="s">
        <v>134</v>
      </c>
      <c r="B52" s="3" t="s">
        <v>45</v>
      </c>
      <c r="C52" s="3" t="s">
        <v>150</v>
      </c>
      <c r="D52" s="3" t="s">
        <v>220</v>
      </c>
      <c r="E52" s="3">
        <v>4665</v>
      </c>
      <c r="F52" s="3">
        <f>VLOOKUP(D52,补贴标准!$A$2:$B$4,2,FALSE)</f>
        <v>1000</v>
      </c>
      <c r="G52" s="3">
        <f t="shared" si="0"/>
        <v>5665</v>
      </c>
      <c r="H52" s="8" t="s">
        <v>224</v>
      </c>
    </row>
    <row r="53" spans="1:8" x14ac:dyDescent="0.15">
      <c r="A53" s="4" t="s">
        <v>139</v>
      </c>
      <c r="B53" s="3" t="s">
        <v>50</v>
      </c>
      <c r="C53" s="3" t="s">
        <v>150</v>
      </c>
      <c r="D53" s="3" t="s">
        <v>220</v>
      </c>
      <c r="E53" s="3">
        <v>4615</v>
      </c>
      <c r="F53" s="3">
        <f>VLOOKUP(D53,补贴标准!$A$2:$B$4,2,FALSE)</f>
        <v>1000</v>
      </c>
      <c r="G53" s="3">
        <f t="shared" si="0"/>
        <v>5615</v>
      </c>
      <c r="H53" s="8" t="s">
        <v>224</v>
      </c>
    </row>
    <row r="54" spans="1:8" x14ac:dyDescent="0.15">
      <c r="A54" s="4" t="s">
        <v>141</v>
      </c>
      <c r="B54" s="3" t="s">
        <v>52</v>
      </c>
      <c r="C54" s="3" t="s">
        <v>150</v>
      </c>
      <c r="D54" s="3" t="s">
        <v>220</v>
      </c>
      <c r="E54" s="3">
        <v>4704</v>
      </c>
      <c r="F54" s="3">
        <f>VLOOKUP(D54,补贴标准!$A$2:$B$4,2,FALSE)</f>
        <v>1000</v>
      </c>
      <c r="G54" s="3">
        <f t="shared" si="0"/>
        <v>5704</v>
      </c>
      <c r="H54" s="8" t="s">
        <v>224</v>
      </c>
    </row>
    <row r="55" spans="1:8" x14ac:dyDescent="0.15">
      <c r="A55" s="4" t="s">
        <v>127</v>
      </c>
      <c r="B55" s="3" t="s">
        <v>37</v>
      </c>
      <c r="C55" s="3" t="s">
        <v>150</v>
      </c>
      <c r="D55" s="3" t="s">
        <v>220</v>
      </c>
      <c r="E55" s="3">
        <v>4615</v>
      </c>
      <c r="F55" s="3">
        <f>VLOOKUP(D55,补贴标准!$A$2:$B$4,2,FALSE)</f>
        <v>1000</v>
      </c>
      <c r="G55" s="3">
        <f t="shared" si="0"/>
        <v>5615</v>
      </c>
      <c r="H55" s="8" t="s">
        <v>224</v>
      </c>
    </row>
    <row r="56" spans="1:8" x14ac:dyDescent="0.15">
      <c r="A56" s="4" t="s">
        <v>208</v>
      </c>
      <c r="B56" s="3" t="s">
        <v>35</v>
      </c>
      <c r="C56" s="3" t="s">
        <v>150</v>
      </c>
      <c r="D56" s="3" t="s">
        <v>220</v>
      </c>
      <c r="E56" s="3">
        <v>4858</v>
      </c>
      <c r="F56" s="3">
        <f>VLOOKUP(D56,补贴标准!$A$2:$B$4,2,FALSE)</f>
        <v>1000</v>
      </c>
      <c r="G56" s="3">
        <f t="shared" si="0"/>
        <v>5858</v>
      </c>
      <c r="H56" s="8" t="s">
        <v>224</v>
      </c>
    </row>
    <row r="57" spans="1:8" x14ac:dyDescent="0.15">
      <c r="A57" s="4" t="s">
        <v>130</v>
      </c>
      <c r="B57" s="3" t="s">
        <v>41</v>
      </c>
      <c r="C57" s="3" t="s">
        <v>150</v>
      </c>
      <c r="D57" s="3" t="s">
        <v>220</v>
      </c>
      <c r="E57" s="3">
        <v>4547</v>
      </c>
      <c r="F57" s="3">
        <f>VLOOKUP(D57,补贴标准!$A$2:$B$4,2,FALSE)</f>
        <v>1000</v>
      </c>
      <c r="G57" s="3">
        <f t="shared" si="0"/>
        <v>5547</v>
      </c>
      <c r="H57" s="8" t="s">
        <v>224</v>
      </c>
    </row>
    <row r="58" spans="1:8" x14ac:dyDescent="0.15">
      <c r="A58" s="3" t="s">
        <v>123</v>
      </c>
      <c r="B58" s="3" t="s">
        <v>76</v>
      </c>
      <c r="C58" s="3" t="s">
        <v>149</v>
      </c>
      <c r="D58" s="3" t="s">
        <v>220</v>
      </c>
      <c r="E58" s="3">
        <v>4858</v>
      </c>
      <c r="F58" s="3">
        <f>VLOOKUP(D58,补贴标准!$A$2:$B$4,2,FALSE)</f>
        <v>1000</v>
      </c>
      <c r="G58" s="3">
        <f t="shared" si="0"/>
        <v>5858</v>
      </c>
      <c r="H58" s="8" t="s">
        <v>224</v>
      </c>
    </row>
    <row r="59" spans="1:8" x14ac:dyDescent="0.15">
      <c r="A59" s="3" t="s">
        <v>111</v>
      </c>
      <c r="B59" s="3" t="s">
        <v>64</v>
      </c>
      <c r="C59" s="3" t="s">
        <v>149</v>
      </c>
      <c r="D59" s="3" t="s">
        <v>220</v>
      </c>
      <c r="E59" s="3">
        <v>4900</v>
      </c>
      <c r="F59" s="3">
        <f>VLOOKUP(D59,补贴标准!$A$2:$B$4,2,FALSE)</f>
        <v>1000</v>
      </c>
      <c r="G59" s="3">
        <f t="shared" si="0"/>
        <v>5900</v>
      </c>
      <c r="H59" s="8" t="s">
        <v>224</v>
      </c>
    </row>
    <row r="60" spans="1:8" x14ac:dyDescent="0.15">
      <c r="A60" s="3" t="s">
        <v>107</v>
      </c>
      <c r="B60" s="3" t="s">
        <v>60</v>
      </c>
      <c r="C60" s="3" t="s">
        <v>149</v>
      </c>
      <c r="D60" s="3" t="s">
        <v>220</v>
      </c>
      <c r="E60" s="3">
        <v>4900</v>
      </c>
      <c r="F60" s="3">
        <f>VLOOKUP(D60,补贴标准!$A$2:$B$4,2,FALSE)</f>
        <v>1000</v>
      </c>
      <c r="G60" s="3">
        <f t="shared" si="0"/>
        <v>5900</v>
      </c>
      <c r="H60" s="8" t="s">
        <v>224</v>
      </c>
    </row>
    <row r="61" spans="1:8" x14ac:dyDescent="0.15">
      <c r="A61" s="3" t="s">
        <v>110</v>
      </c>
      <c r="B61" s="3" t="s">
        <v>63</v>
      </c>
      <c r="C61" s="3" t="s">
        <v>149</v>
      </c>
      <c r="D61" s="3" t="s">
        <v>220</v>
      </c>
      <c r="E61" s="3">
        <v>4058</v>
      </c>
      <c r="F61" s="3">
        <f>VLOOKUP(D61,补贴标准!$A$2:$B$4,2,FALSE)</f>
        <v>1000</v>
      </c>
      <c r="G61" s="3">
        <f t="shared" si="0"/>
        <v>5058</v>
      </c>
      <c r="H61" s="8" t="s">
        <v>224</v>
      </c>
    </row>
    <row r="62" spans="1:8" x14ac:dyDescent="0.15">
      <c r="A62" s="3" t="s">
        <v>108</v>
      </c>
      <c r="B62" s="3" t="s">
        <v>61</v>
      </c>
      <c r="C62" s="3" t="s">
        <v>149</v>
      </c>
      <c r="D62" s="3" t="s">
        <v>220</v>
      </c>
      <c r="E62" s="3">
        <v>5000</v>
      </c>
      <c r="F62" s="3">
        <f>VLOOKUP(D62,补贴标准!$A$2:$B$4,2,FALSE)</f>
        <v>1000</v>
      </c>
      <c r="G62" s="3">
        <f t="shared" si="0"/>
        <v>6000</v>
      </c>
      <c r="H62" s="8" t="s">
        <v>224</v>
      </c>
    </row>
    <row r="63" spans="1:8" x14ac:dyDescent="0.15">
      <c r="A63" s="3" t="s">
        <v>122</v>
      </c>
      <c r="B63" s="3" t="s">
        <v>75</v>
      </c>
      <c r="C63" s="3" t="s">
        <v>149</v>
      </c>
      <c r="D63" s="3" t="s">
        <v>220</v>
      </c>
      <c r="E63" s="3">
        <v>4560</v>
      </c>
      <c r="F63" s="3">
        <f>VLOOKUP(D63,补贴标准!$A$2:$B$4,2,FALSE)</f>
        <v>1000</v>
      </c>
      <c r="G63" s="3">
        <f t="shared" si="0"/>
        <v>5560</v>
      </c>
      <c r="H63" s="8" t="s">
        <v>224</v>
      </c>
    </row>
    <row r="64" spans="1:8" x14ac:dyDescent="0.15">
      <c r="A64" s="4" t="s">
        <v>157</v>
      </c>
      <c r="B64" s="3" t="s">
        <v>85</v>
      </c>
      <c r="C64" s="3" t="s">
        <v>210</v>
      </c>
      <c r="D64" s="3" t="s">
        <v>222</v>
      </c>
      <c r="E64" s="3">
        <v>3747</v>
      </c>
      <c r="F64" s="3">
        <f>VLOOKUP(D64,补贴标准!$A$2:$B$4,2,FALSE)</f>
        <v>800</v>
      </c>
      <c r="G64" s="3">
        <f t="shared" si="0"/>
        <v>4547</v>
      </c>
      <c r="H64" s="8" t="s">
        <v>224</v>
      </c>
    </row>
    <row r="65" spans="1:8" x14ac:dyDescent="0.15">
      <c r="A65" s="4" t="s">
        <v>158</v>
      </c>
      <c r="B65" s="3" t="s">
        <v>86</v>
      </c>
      <c r="C65" s="3" t="s">
        <v>210</v>
      </c>
      <c r="D65" s="3" t="s">
        <v>222</v>
      </c>
      <c r="E65" s="3">
        <v>3860</v>
      </c>
      <c r="F65" s="3">
        <f>VLOOKUP(D65,补贴标准!$A$2:$B$4,2,FALSE)</f>
        <v>800</v>
      </c>
      <c r="G65" s="3">
        <f t="shared" si="0"/>
        <v>4660</v>
      </c>
      <c r="H65" s="8" t="s">
        <v>224</v>
      </c>
    </row>
    <row r="66" spans="1:8" x14ac:dyDescent="0.15">
      <c r="A66" s="4" t="s">
        <v>153</v>
      </c>
      <c r="B66" s="3" t="s">
        <v>81</v>
      </c>
      <c r="C66" s="3" t="s">
        <v>210</v>
      </c>
      <c r="D66" s="3" t="s">
        <v>222</v>
      </c>
      <c r="E66" s="3">
        <v>3815</v>
      </c>
      <c r="F66" s="3">
        <f>VLOOKUP(D66,补贴标准!$A$2:$B$4,2,FALSE)</f>
        <v>800</v>
      </c>
      <c r="G66" s="3">
        <f t="shared" si="0"/>
        <v>4615</v>
      </c>
      <c r="H66" s="8" t="s">
        <v>224</v>
      </c>
    </row>
    <row r="67" spans="1:8" x14ac:dyDescent="0.15">
      <c r="A67" s="4" t="s">
        <v>156</v>
      </c>
      <c r="B67" s="3" t="s">
        <v>84</v>
      </c>
      <c r="C67" s="3" t="s">
        <v>210</v>
      </c>
      <c r="D67" s="3" t="s">
        <v>222</v>
      </c>
      <c r="E67" s="3">
        <v>3786</v>
      </c>
      <c r="F67" s="3">
        <f>VLOOKUP(D67,补贴标准!$A$2:$B$4,2,FALSE)</f>
        <v>800</v>
      </c>
      <c r="G67" s="3">
        <f t="shared" ref="G67:G106" si="1">E67+F67</f>
        <v>4586</v>
      </c>
      <c r="H67" s="8" t="s">
        <v>224</v>
      </c>
    </row>
    <row r="68" spans="1:8" x14ac:dyDescent="0.15">
      <c r="A68" s="4" t="s">
        <v>154</v>
      </c>
      <c r="B68" s="3" t="s">
        <v>82</v>
      </c>
      <c r="C68" s="3" t="s">
        <v>210</v>
      </c>
      <c r="D68" s="3" t="s">
        <v>222</v>
      </c>
      <c r="E68" s="3">
        <v>3957</v>
      </c>
      <c r="F68" s="3">
        <f>VLOOKUP(D68,补贴标准!$A$2:$B$4,2,FALSE)</f>
        <v>800</v>
      </c>
      <c r="G68" s="3">
        <f t="shared" si="1"/>
        <v>4757</v>
      </c>
      <c r="H68" s="8" t="s">
        <v>224</v>
      </c>
    </row>
    <row r="69" spans="1:8" x14ac:dyDescent="0.15">
      <c r="A69" s="4" t="s">
        <v>155</v>
      </c>
      <c r="B69" s="3" t="s">
        <v>83</v>
      </c>
      <c r="C69" s="3" t="s">
        <v>210</v>
      </c>
      <c r="D69" s="3" t="s">
        <v>222</v>
      </c>
      <c r="E69" s="3">
        <v>3904</v>
      </c>
      <c r="F69" s="3">
        <f>VLOOKUP(D69,补贴标准!$A$2:$B$4,2,FALSE)</f>
        <v>800</v>
      </c>
      <c r="G69" s="3">
        <f t="shared" si="1"/>
        <v>4704</v>
      </c>
      <c r="H69" s="8" t="s">
        <v>224</v>
      </c>
    </row>
    <row r="70" spans="1:8" x14ac:dyDescent="0.15">
      <c r="A70" s="4" t="s">
        <v>206</v>
      </c>
      <c r="B70" s="3" t="s">
        <v>31</v>
      </c>
      <c r="C70" s="3" t="s">
        <v>211</v>
      </c>
      <c r="D70" s="3" t="s">
        <v>222</v>
      </c>
      <c r="E70" s="3">
        <v>3904</v>
      </c>
      <c r="F70" s="3">
        <f>VLOOKUP(D70,补贴标准!$A$2:$B$4,2,FALSE)</f>
        <v>800</v>
      </c>
      <c r="G70" s="3">
        <f t="shared" si="1"/>
        <v>4704</v>
      </c>
      <c r="H70" s="8" t="s">
        <v>224</v>
      </c>
    </row>
    <row r="71" spans="1:8" x14ac:dyDescent="0.15">
      <c r="A71" s="4" t="s">
        <v>204</v>
      </c>
      <c r="B71" s="3" t="s">
        <v>29</v>
      </c>
      <c r="C71" s="3" t="s">
        <v>211</v>
      </c>
      <c r="D71" s="3" t="s">
        <v>222</v>
      </c>
      <c r="E71" s="3">
        <v>3815</v>
      </c>
      <c r="F71" s="3">
        <f>VLOOKUP(D71,补贴标准!$A$2:$B$4,2,FALSE)</f>
        <v>800</v>
      </c>
      <c r="G71" s="3">
        <f t="shared" si="1"/>
        <v>4615</v>
      </c>
      <c r="H71" s="8" t="s">
        <v>224</v>
      </c>
    </row>
    <row r="72" spans="1:8" x14ac:dyDescent="0.15">
      <c r="A72" s="4" t="s">
        <v>205</v>
      </c>
      <c r="B72" s="3" t="s">
        <v>30</v>
      </c>
      <c r="C72" s="3" t="s">
        <v>211</v>
      </c>
      <c r="D72" s="3" t="s">
        <v>222</v>
      </c>
      <c r="E72" s="3">
        <v>3957</v>
      </c>
      <c r="F72" s="3">
        <f>VLOOKUP(D72,补贴标准!$A$2:$B$4,2,FALSE)</f>
        <v>800</v>
      </c>
      <c r="G72" s="3">
        <f t="shared" si="1"/>
        <v>4757</v>
      </c>
      <c r="H72" s="8" t="s">
        <v>224</v>
      </c>
    </row>
    <row r="73" spans="1:8" x14ac:dyDescent="0.15">
      <c r="A73" s="3" t="s">
        <v>114</v>
      </c>
      <c r="B73" s="3" t="s">
        <v>67</v>
      </c>
      <c r="C73" s="3" t="s">
        <v>149</v>
      </c>
      <c r="D73" s="3" t="s">
        <v>222</v>
      </c>
      <c r="E73" s="3">
        <v>3904</v>
      </c>
      <c r="F73" s="3">
        <f>VLOOKUP(D73,补贴标准!$A$2:$B$4,2,FALSE)</f>
        <v>800</v>
      </c>
      <c r="G73" s="3">
        <f t="shared" si="1"/>
        <v>4704</v>
      </c>
      <c r="H73" s="8" t="s">
        <v>224</v>
      </c>
    </row>
    <row r="74" spans="1:8" x14ac:dyDescent="0.15">
      <c r="A74" s="3" t="s">
        <v>113</v>
      </c>
      <c r="B74" s="3" t="s">
        <v>66</v>
      </c>
      <c r="C74" s="3" t="s">
        <v>149</v>
      </c>
      <c r="D74" s="3" t="s">
        <v>222</v>
      </c>
      <c r="E74" s="3">
        <v>3957</v>
      </c>
      <c r="F74" s="3">
        <f>VLOOKUP(D74,补贴标准!$A$2:$B$4,2,FALSE)</f>
        <v>800</v>
      </c>
      <c r="G74" s="3">
        <f t="shared" si="1"/>
        <v>4757</v>
      </c>
      <c r="H74" s="8" t="s">
        <v>224</v>
      </c>
    </row>
    <row r="75" spans="1:8" x14ac:dyDescent="0.15">
      <c r="A75" s="3" t="s">
        <v>115</v>
      </c>
      <c r="B75" s="3" t="s">
        <v>68</v>
      </c>
      <c r="C75" s="3" t="s">
        <v>149</v>
      </c>
      <c r="D75" s="3" t="s">
        <v>222</v>
      </c>
      <c r="E75" s="3">
        <v>3786</v>
      </c>
      <c r="F75" s="3">
        <f>VLOOKUP(D75,补贴标准!$A$2:$B$4,2,FALSE)</f>
        <v>800</v>
      </c>
      <c r="G75" s="3">
        <f t="shared" si="1"/>
        <v>4586</v>
      </c>
      <c r="H75" s="8" t="s">
        <v>224</v>
      </c>
    </row>
    <row r="76" spans="1:8" x14ac:dyDescent="0.15">
      <c r="A76" s="3" t="s">
        <v>119</v>
      </c>
      <c r="B76" s="3" t="s">
        <v>72</v>
      </c>
      <c r="C76" s="3" t="s">
        <v>149</v>
      </c>
      <c r="D76" s="3" t="s">
        <v>222</v>
      </c>
      <c r="E76" s="3">
        <v>3865</v>
      </c>
      <c r="F76" s="3">
        <f>VLOOKUP(D76,补贴标准!$A$2:$B$4,2,FALSE)</f>
        <v>800</v>
      </c>
      <c r="G76" s="3">
        <f t="shared" si="1"/>
        <v>4665</v>
      </c>
      <c r="H76" s="8" t="s">
        <v>224</v>
      </c>
    </row>
    <row r="77" spans="1:8" x14ac:dyDescent="0.15">
      <c r="A77" s="3" t="s">
        <v>109</v>
      </c>
      <c r="B77" s="3" t="s">
        <v>62</v>
      </c>
      <c r="C77" s="3" t="s">
        <v>149</v>
      </c>
      <c r="D77" s="3" t="s">
        <v>222</v>
      </c>
      <c r="E77" s="3">
        <v>3760</v>
      </c>
      <c r="F77" s="3">
        <f>VLOOKUP(D77,补贴标准!$A$2:$B$4,2,FALSE)</f>
        <v>800</v>
      </c>
      <c r="G77" s="3">
        <f t="shared" si="1"/>
        <v>4560</v>
      </c>
      <c r="H77" s="8" t="s">
        <v>224</v>
      </c>
    </row>
    <row r="78" spans="1:8" x14ac:dyDescent="0.15">
      <c r="A78" s="3" t="s">
        <v>112</v>
      </c>
      <c r="B78" s="3" t="s">
        <v>65</v>
      </c>
      <c r="C78" s="3" t="s">
        <v>149</v>
      </c>
      <c r="D78" s="3" t="s">
        <v>222</v>
      </c>
      <c r="E78" s="3">
        <v>3815</v>
      </c>
      <c r="F78" s="3">
        <f>VLOOKUP(D78,补贴标准!$A$2:$B$4,2,FALSE)</f>
        <v>800</v>
      </c>
      <c r="G78" s="3">
        <f t="shared" si="1"/>
        <v>4615</v>
      </c>
      <c r="H78" s="8" t="s">
        <v>224</v>
      </c>
    </row>
    <row r="79" spans="1:8" x14ac:dyDescent="0.15">
      <c r="A79" s="3" t="s">
        <v>117</v>
      </c>
      <c r="B79" s="3" t="s">
        <v>70</v>
      </c>
      <c r="C79" s="3" t="s">
        <v>149</v>
      </c>
      <c r="D79" s="3" t="s">
        <v>222</v>
      </c>
      <c r="E79" s="3">
        <v>3860</v>
      </c>
      <c r="F79" s="3">
        <f>VLOOKUP(D79,补贴标准!$A$2:$B$4,2,FALSE)</f>
        <v>800</v>
      </c>
      <c r="G79" s="3">
        <f t="shared" si="1"/>
        <v>4660</v>
      </c>
      <c r="H79" s="8" t="s">
        <v>224</v>
      </c>
    </row>
    <row r="80" spans="1:8" x14ac:dyDescent="0.15">
      <c r="A80" s="3" t="s">
        <v>116</v>
      </c>
      <c r="B80" s="3" t="s">
        <v>69</v>
      </c>
      <c r="C80" s="3" t="s">
        <v>149</v>
      </c>
      <c r="D80" s="3" t="s">
        <v>222</v>
      </c>
      <c r="E80" s="3">
        <v>3747</v>
      </c>
      <c r="F80" s="3">
        <f>VLOOKUP(D80,补贴标准!$A$2:$B$4,2,FALSE)</f>
        <v>800</v>
      </c>
      <c r="G80" s="3">
        <f t="shared" si="1"/>
        <v>4547</v>
      </c>
      <c r="H80" s="8" t="s">
        <v>224</v>
      </c>
    </row>
    <row r="81" spans="1:8" x14ac:dyDescent="0.15">
      <c r="A81" s="4" t="s">
        <v>169</v>
      </c>
      <c r="B81" s="3" t="s">
        <v>97</v>
      </c>
      <c r="C81" s="3" t="s">
        <v>210</v>
      </c>
      <c r="D81" s="3" t="s">
        <v>221</v>
      </c>
      <c r="E81" s="3">
        <v>5700</v>
      </c>
      <c r="F81" s="3">
        <f>VLOOKUP(D81,补贴标准!$A$2:$B$4,2,FALSE)</f>
        <v>1200</v>
      </c>
      <c r="G81" s="3">
        <f t="shared" si="1"/>
        <v>6900</v>
      </c>
      <c r="H81" s="8" t="s">
        <v>224</v>
      </c>
    </row>
    <row r="82" spans="1:8" x14ac:dyDescent="0.15">
      <c r="A82" s="4" t="s">
        <v>160</v>
      </c>
      <c r="B82" s="3" t="s">
        <v>88</v>
      </c>
      <c r="C82" s="3" t="s">
        <v>210</v>
      </c>
      <c r="D82" s="3" t="s">
        <v>221</v>
      </c>
      <c r="E82" s="3">
        <v>5800</v>
      </c>
      <c r="F82" s="3">
        <f>VLOOKUP(D82,补贴标准!$A$2:$B$4,2,FALSE)</f>
        <v>1200</v>
      </c>
      <c r="G82" s="3">
        <f t="shared" si="1"/>
        <v>7000</v>
      </c>
      <c r="H82" s="8" t="s">
        <v>224</v>
      </c>
    </row>
    <row r="83" spans="1:8" x14ac:dyDescent="0.15">
      <c r="A83" s="4" t="s">
        <v>163</v>
      </c>
      <c r="B83" s="3" t="s">
        <v>91</v>
      </c>
      <c r="C83" s="3" t="s">
        <v>210</v>
      </c>
      <c r="D83" s="3" t="s">
        <v>221</v>
      </c>
      <c r="E83" s="3">
        <v>5700</v>
      </c>
      <c r="F83" s="3">
        <f>VLOOKUP(D83,补贴标准!$A$2:$B$4,2,FALSE)</f>
        <v>1200</v>
      </c>
      <c r="G83" s="3">
        <f t="shared" si="1"/>
        <v>6900</v>
      </c>
      <c r="H83" s="8" t="s">
        <v>224</v>
      </c>
    </row>
    <row r="84" spans="1:8" x14ac:dyDescent="0.15">
      <c r="A84" s="4" t="s">
        <v>173</v>
      </c>
      <c r="B84" s="3" t="s">
        <v>101</v>
      </c>
      <c r="C84" s="3" t="s">
        <v>210</v>
      </c>
      <c r="D84" s="3" t="s">
        <v>221</v>
      </c>
      <c r="E84" s="3">
        <v>5700</v>
      </c>
      <c r="F84" s="3">
        <f>VLOOKUP(D84,补贴标准!$A$2:$B$4,2,FALSE)</f>
        <v>1200</v>
      </c>
      <c r="G84" s="3">
        <f t="shared" si="1"/>
        <v>6900</v>
      </c>
      <c r="H84" s="8" t="s">
        <v>224</v>
      </c>
    </row>
    <row r="85" spans="1:8" x14ac:dyDescent="0.15">
      <c r="A85" s="4" t="s">
        <v>170</v>
      </c>
      <c r="B85" s="3" t="s">
        <v>98</v>
      </c>
      <c r="C85" s="3" t="s">
        <v>210</v>
      </c>
      <c r="D85" s="3" t="s">
        <v>221</v>
      </c>
      <c r="E85" s="3">
        <v>5800</v>
      </c>
      <c r="F85" s="3">
        <f>VLOOKUP(D85,补贴标准!$A$2:$B$4,2,FALSE)</f>
        <v>1200</v>
      </c>
      <c r="G85" s="3">
        <f t="shared" si="1"/>
        <v>7000</v>
      </c>
      <c r="H85" s="8" t="s">
        <v>224</v>
      </c>
    </row>
    <row r="86" spans="1:8" x14ac:dyDescent="0.15">
      <c r="A86" s="4" t="s">
        <v>159</v>
      </c>
      <c r="B86" s="3" t="s">
        <v>87</v>
      </c>
      <c r="C86" s="3" t="s">
        <v>210</v>
      </c>
      <c r="D86" s="3" t="s">
        <v>221</v>
      </c>
      <c r="E86" s="3">
        <v>5700</v>
      </c>
      <c r="F86" s="3">
        <f>VLOOKUP(D86,补贴标准!$A$2:$B$4,2,FALSE)</f>
        <v>1200</v>
      </c>
      <c r="G86" s="3">
        <f t="shared" si="1"/>
        <v>6900</v>
      </c>
      <c r="H86" s="8" t="s">
        <v>224</v>
      </c>
    </row>
    <row r="87" spans="1:8" x14ac:dyDescent="0.15">
      <c r="A87" s="4" t="s">
        <v>125</v>
      </c>
      <c r="B87" s="3" t="s">
        <v>32</v>
      </c>
      <c r="C87" s="3" t="s">
        <v>211</v>
      </c>
      <c r="D87" s="3" t="s">
        <v>221</v>
      </c>
      <c r="E87" s="3">
        <v>5700</v>
      </c>
      <c r="F87" s="3">
        <f>VLOOKUP(D87,补贴标准!$A$2:$B$4,2,FALSE)</f>
        <v>1200</v>
      </c>
      <c r="G87" s="3">
        <f t="shared" si="1"/>
        <v>6900</v>
      </c>
      <c r="H87" s="8" t="s">
        <v>224</v>
      </c>
    </row>
    <row r="88" spans="1:8" x14ac:dyDescent="0.15">
      <c r="A88" s="4" t="s">
        <v>126</v>
      </c>
      <c r="B88" s="3" t="s">
        <v>33</v>
      </c>
      <c r="C88" s="3" t="s">
        <v>211</v>
      </c>
      <c r="D88" s="3" t="s">
        <v>221</v>
      </c>
      <c r="E88" s="3">
        <v>5800</v>
      </c>
      <c r="F88" s="3">
        <f>VLOOKUP(D88,补贴标准!$A$2:$B$4,2,FALSE)</f>
        <v>1200</v>
      </c>
      <c r="G88" s="3">
        <f t="shared" si="1"/>
        <v>7000</v>
      </c>
      <c r="H88" s="8" t="s">
        <v>224</v>
      </c>
    </row>
    <row r="89" spans="1:8" x14ac:dyDescent="0.15">
      <c r="A89" s="4" t="s">
        <v>182</v>
      </c>
      <c r="B89" s="3" t="s">
        <v>7</v>
      </c>
      <c r="C89" s="3" t="s">
        <v>211</v>
      </c>
      <c r="D89" s="3" t="s">
        <v>221</v>
      </c>
      <c r="E89" s="3">
        <v>5780</v>
      </c>
      <c r="F89" s="3">
        <f>VLOOKUP(D89,补贴标准!$A$2:$B$4,2,FALSE)</f>
        <v>1200</v>
      </c>
      <c r="G89" s="3">
        <f t="shared" si="1"/>
        <v>6980</v>
      </c>
      <c r="H89" s="8" t="s">
        <v>224</v>
      </c>
    </row>
    <row r="90" spans="1:8" x14ac:dyDescent="0.15">
      <c r="A90" s="4" t="s">
        <v>194</v>
      </c>
      <c r="B90" s="3" t="s">
        <v>19</v>
      </c>
      <c r="C90" s="3" t="s">
        <v>211</v>
      </c>
      <c r="D90" s="3" t="s">
        <v>221</v>
      </c>
      <c r="E90" s="3">
        <v>5700</v>
      </c>
      <c r="F90" s="3">
        <f>VLOOKUP(D90,补贴标准!$A$2:$B$4,2,FALSE)</f>
        <v>1200</v>
      </c>
      <c r="G90" s="3">
        <f t="shared" si="1"/>
        <v>6900</v>
      </c>
      <c r="H90" s="8" t="s">
        <v>224</v>
      </c>
    </row>
    <row r="91" spans="1:8" x14ac:dyDescent="0.15">
      <c r="A91" s="4" t="s">
        <v>183</v>
      </c>
      <c r="B91" s="3" t="s">
        <v>9</v>
      </c>
      <c r="C91" s="3" t="s">
        <v>211</v>
      </c>
      <c r="D91" s="3" t="s">
        <v>221</v>
      </c>
      <c r="E91" s="3">
        <v>5700</v>
      </c>
      <c r="F91" s="3">
        <f>VLOOKUP(D91,补贴标准!$A$2:$B$4,2,FALSE)</f>
        <v>1200</v>
      </c>
      <c r="G91" s="3">
        <f t="shared" si="1"/>
        <v>6900</v>
      </c>
      <c r="H91" s="8" t="s">
        <v>224</v>
      </c>
    </row>
    <row r="92" spans="1:8" x14ac:dyDescent="0.15">
      <c r="A92" s="4" t="s">
        <v>184</v>
      </c>
      <c r="B92" s="3" t="s">
        <v>10</v>
      </c>
      <c r="C92" s="3" t="s">
        <v>211</v>
      </c>
      <c r="D92" s="3" t="s">
        <v>221</v>
      </c>
      <c r="E92" s="3">
        <v>5800</v>
      </c>
      <c r="F92" s="3">
        <f>VLOOKUP(D92,补贴标准!$A$2:$B$4,2,FALSE)</f>
        <v>1200</v>
      </c>
      <c r="G92" s="3">
        <f t="shared" si="1"/>
        <v>7000</v>
      </c>
      <c r="H92" s="8" t="s">
        <v>224</v>
      </c>
    </row>
    <row r="93" spans="1:8" x14ac:dyDescent="0.15">
      <c r="A93" s="4" t="s">
        <v>188</v>
      </c>
      <c r="B93" s="3" t="s">
        <v>13</v>
      </c>
      <c r="C93" s="3" t="s">
        <v>211</v>
      </c>
      <c r="D93" s="3" t="s">
        <v>221</v>
      </c>
      <c r="E93" s="3">
        <v>5700</v>
      </c>
      <c r="F93" s="3">
        <f>VLOOKUP(D93,补贴标准!$A$2:$B$4,2,FALSE)</f>
        <v>1200</v>
      </c>
      <c r="G93" s="3">
        <f t="shared" si="1"/>
        <v>6900</v>
      </c>
      <c r="H93" s="8" t="s">
        <v>224</v>
      </c>
    </row>
    <row r="94" spans="1:8" x14ac:dyDescent="0.15">
      <c r="A94" s="4" t="s">
        <v>198</v>
      </c>
      <c r="B94" s="3" t="s">
        <v>23</v>
      </c>
      <c r="C94" s="3" t="s">
        <v>211</v>
      </c>
      <c r="D94" s="3" t="s">
        <v>221</v>
      </c>
      <c r="E94" s="3">
        <v>5700</v>
      </c>
      <c r="F94" s="3">
        <f>VLOOKUP(D94,补贴标准!$A$2:$B$4,2,FALSE)</f>
        <v>1200</v>
      </c>
      <c r="G94" s="3">
        <f t="shared" si="1"/>
        <v>6900</v>
      </c>
      <c r="H94" s="8" t="s">
        <v>224</v>
      </c>
    </row>
    <row r="95" spans="1:8" x14ac:dyDescent="0.15">
      <c r="A95" s="4" t="s">
        <v>195</v>
      </c>
      <c r="B95" s="3" t="s">
        <v>20</v>
      </c>
      <c r="C95" s="3" t="s">
        <v>211</v>
      </c>
      <c r="D95" s="3" t="s">
        <v>221</v>
      </c>
      <c r="E95" s="3">
        <v>5800</v>
      </c>
      <c r="F95" s="3">
        <f>VLOOKUP(D95,补贴标准!$A$2:$B$4,2,FALSE)</f>
        <v>1200</v>
      </c>
      <c r="G95" s="3">
        <f t="shared" si="1"/>
        <v>7000</v>
      </c>
      <c r="H95" s="8" t="s">
        <v>224</v>
      </c>
    </row>
    <row r="96" spans="1:8" x14ac:dyDescent="0.15">
      <c r="A96" s="4" t="s">
        <v>138</v>
      </c>
      <c r="B96" s="3" t="s">
        <v>49</v>
      </c>
      <c r="C96" s="3" t="s">
        <v>150</v>
      </c>
      <c r="D96" s="3" t="s">
        <v>221</v>
      </c>
      <c r="E96" s="3">
        <v>5700</v>
      </c>
      <c r="F96" s="3">
        <f>VLOOKUP(D96,补贴标准!$A$2:$B$4,2,FALSE)</f>
        <v>1200</v>
      </c>
      <c r="G96" s="3">
        <f t="shared" si="1"/>
        <v>6900</v>
      </c>
      <c r="H96" s="8" t="s">
        <v>224</v>
      </c>
    </row>
    <row r="97" spans="1:8" x14ac:dyDescent="0.15">
      <c r="A97" s="4" t="s">
        <v>131</v>
      </c>
      <c r="B97" s="3" t="s">
        <v>42</v>
      </c>
      <c r="C97" s="3" t="s">
        <v>150</v>
      </c>
      <c r="D97" s="3" t="s">
        <v>221</v>
      </c>
      <c r="E97" s="3">
        <v>6300</v>
      </c>
      <c r="F97" s="3">
        <f>VLOOKUP(D97,补贴标准!$A$2:$B$4,2,FALSE)</f>
        <v>1200</v>
      </c>
      <c r="G97" s="3">
        <f t="shared" si="1"/>
        <v>7500</v>
      </c>
      <c r="H97" s="8" t="s">
        <v>224</v>
      </c>
    </row>
    <row r="98" spans="1:8" x14ac:dyDescent="0.15">
      <c r="A98" s="4" t="s">
        <v>145</v>
      </c>
      <c r="B98" s="3" t="s">
        <v>56</v>
      </c>
      <c r="C98" s="3" t="s">
        <v>150</v>
      </c>
      <c r="D98" s="3" t="s">
        <v>221</v>
      </c>
      <c r="E98" s="3">
        <v>6300</v>
      </c>
      <c r="F98" s="3">
        <f>VLOOKUP(D98,补贴标准!$A$2:$B$4,2,FALSE)</f>
        <v>1200</v>
      </c>
      <c r="G98" s="3">
        <f t="shared" si="1"/>
        <v>7500</v>
      </c>
      <c r="H98" s="8" t="s">
        <v>224</v>
      </c>
    </row>
    <row r="99" spans="1:8" x14ac:dyDescent="0.15">
      <c r="A99" s="4" t="s">
        <v>135</v>
      </c>
      <c r="B99" s="3" t="s">
        <v>46</v>
      </c>
      <c r="C99" s="3" t="s">
        <v>150</v>
      </c>
      <c r="D99" s="3" t="s">
        <v>221</v>
      </c>
      <c r="E99" s="3">
        <v>5800</v>
      </c>
      <c r="F99" s="3">
        <f>VLOOKUP(D99,补贴标准!$A$2:$B$4,2,FALSE)</f>
        <v>1200</v>
      </c>
      <c r="G99" s="3">
        <f t="shared" si="1"/>
        <v>7000</v>
      </c>
      <c r="H99" s="8" t="s">
        <v>224</v>
      </c>
    </row>
    <row r="100" spans="1:8" x14ac:dyDescent="0.15">
      <c r="A100" s="4" t="s">
        <v>133</v>
      </c>
      <c r="B100" s="3" t="s">
        <v>44</v>
      </c>
      <c r="C100" s="3" t="s">
        <v>150</v>
      </c>
      <c r="D100" s="3" t="s">
        <v>221</v>
      </c>
      <c r="E100" s="3">
        <v>6300</v>
      </c>
      <c r="F100" s="3">
        <f>VLOOKUP(D100,补贴标准!$A$2:$B$4,2,FALSE)</f>
        <v>1200</v>
      </c>
      <c r="G100" s="3">
        <f t="shared" si="1"/>
        <v>7500</v>
      </c>
      <c r="H100" s="8" t="s">
        <v>224</v>
      </c>
    </row>
    <row r="101" spans="1:8" x14ac:dyDescent="0.15">
      <c r="A101" s="4" t="s">
        <v>147</v>
      </c>
      <c r="B101" s="3" t="s">
        <v>58</v>
      </c>
      <c r="C101" s="3" t="s">
        <v>150</v>
      </c>
      <c r="D101" s="3" t="s">
        <v>221</v>
      </c>
      <c r="E101" s="3">
        <v>5500</v>
      </c>
      <c r="F101" s="3">
        <f>VLOOKUP(D101,补贴标准!$A$2:$B$4,2,FALSE)</f>
        <v>1200</v>
      </c>
      <c r="G101" s="3">
        <f t="shared" si="1"/>
        <v>6700</v>
      </c>
      <c r="H101" s="8" t="s">
        <v>224</v>
      </c>
    </row>
    <row r="102" spans="1:8" x14ac:dyDescent="0.15">
      <c r="A102" s="4" t="s">
        <v>213</v>
      </c>
      <c r="B102" s="3" t="s">
        <v>36</v>
      </c>
      <c r="C102" s="3" t="s">
        <v>150</v>
      </c>
      <c r="D102" s="3" t="s">
        <v>221</v>
      </c>
      <c r="E102" s="3">
        <v>5700</v>
      </c>
      <c r="F102" s="3">
        <f>VLOOKUP(D102,补贴标准!$A$2:$B$4,2,FALSE)</f>
        <v>1200</v>
      </c>
      <c r="G102" s="3">
        <f t="shared" si="1"/>
        <v>6900</v>
      </c>
      <c r="H102" s="8" t="s">
        <v>224</v>
      </c>
    </row>
    <row r="103" spans="1:8" x14ac:dyDescent="0.15">
      <c r="A103" s="3" t="s">
        <v>120</v>
      </c>
      <c r="B103" s="3" t="s">
        <v>73</v>
      </c>
      <c r="C103" s="3" t="s">
        <v>149</v>
      </c>
      <c r="D103" s="3" t="s">
        <v>221</v>
      </c>
      <c r="E103" s="3">
        <v>5700</v>
      </c>
      <c r="F103" s="3">
        <f>VLOOKUP(D103,补贴标准!$A$2:$B$4,2,FALSE)</f>
        <v>1200</v>
      </c>
      <c r="G103" s="3">
        <f t="shared" si="1"/>
        <v>6900</v>
      </c>
      <c r="H103" s="8" t="s">
        <v>224</v>
      </c>
    </row>
    <row r="104" spans="1:8" x14ac:dyDescent="0.15">
      <c r="A104" s="3" t="s">
        <v>118</v>
      </c>
      <c r="B104" s="3" t="s">
        <v>71</v>
      </c>
      <c r="C104" s="3" t="s">
        <v>149</v>
      </c>
      <c r="D104" s="3" t="s">
        <v>221</v>
      </c>
      <c r="E104" s="3">
        <v>5500</v>
      </c>
      <c r="F104" s="3">
        <f>VLOOKUP(D104,补贴标准!$A$2:$B$4,2,FALSE)</f>
        <v>1200</v>
      </c>
      <c r="G104" s="3">
        <f t="shared" si="1"/>
        <v>6700</v>
      </c>
      <c r="H104" s="8" t="s">
        <v>224</v>
      </c>
    </row>
    <row r="105" spans="1:8" x14ac:dyDescent="0.15">
      <c r="A105" s="3" t="s">
        <v>124</v>
      </c>
      <c r="B105" s="3" t="s">
        <v>215</v>
      </c>
      <c r="C105" s="3" t="s">
        <v>149</v>
      </c>
      <c r="D105" s="3" t="s">
        <v>221</v>
      </c>
      <c r="E105" s="3">
        <v>5700</v>
      </c>
      <c r="F105" s="3">
        <f>VLOOKUP(D105,补贴标准!$A$2:$B$4,2,FALSE)</f>
        <v>1200</v>
      </c>
      <c r="G105" s="3">
        <f t="shared" si="1"/>
        <v>6900</v>
      </c>
      <c r="H105" s="8" t="s">
        <v>224</v>
      </c>
    </row>
    <row r="106" spans="1:8" x14ac:dyDescent="0.15">
      <c r="A106" s="3" t="s">
        <v>121</v>
      </c>
      <c r="B106" s="3" t="s">
        <v>74</v>
      </c>
      <c r="C106" s="3" t="s">
        <v>149</v>
      </c>
      <c r="D106" s="3" t="s">
        <v>221</v>
      </c>
      <c r="E106" s="3">
        <v>5800</v>
      </c>
      <c r="F106" s="3">
        <f>VLOOKUP(D106,补贴标准!$A$2:$B$4,2,FALSE)</f>
        <v>1200</v>
      </c>
      <c r="G106" s="3">
        <f t="shared" si="1"/>
        <v>7000</v>
      </c>
      <c r="H106" s="8" t="s">
        <v>347</v>
      </c>
    </row>
  </sheetData>
  <sortState ref="A2:G106">
    <sortCondition ref="D2:D106"/>
  </sortState>
  <phoneticPr fontId="2" type="noConversion"/>
  <pageMargins left="0.7" right="0.7" top="0.75" bottom="0.75" header="0.3" footer="0.3"/>
  <pageSetup paperSize="9" orientation="portrait" verticalDpi="0" r:id="rId1"/>
  <rowBreaks count="3" manualBreakCount="3">
    <brk id="31" max="16383" man="1"/>
    <brk id="61" max="16383" man="1"/>
    <brk id="88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6"/>
  <sheetViews>
    <sheetView topLeftCell="A79" workbookViewId="0">
      <selection activeCell="E2" sqref="E2:E106"/>
    </sheetView>
  </sheetViews>
  <sheetFormatPr defaultRowHeight="13.5" x14ac:dyDescent="0.15"/>
  <cols>
    <col min="4" max="4" width="23.125" customWidth="1"/>
  </cols>
  <sheetData>
    <row r="1" spans="1:5" x14ac:dyDescent="0.15">
      <c r="A1" s="1" t="s">
        <v>0</v>
      </c>
      <c r="B1" s="1" t="s">
        <v>339</v>
      </c>
      <c r="C1" s="1" t="s">
        <v>340</v>
      </c>
      <c r="D1" s="1" t="s">
        <v>341</v>
      </c>
      <c r="E1" s="1" t="s">
        <v>342</v>
      </c>
    </row>
    <row r="2" spans="1:5" x14ac:dyDescent="0.15">
      <c r="A2" s="4" t="s">
        <v>209</v>
      </c>
      <c r="B2" s="3" t="s">
        <v>77</v>
      </c>
      <c r="C2" s="8" t="s">
        <v>223</v>
      </c>
      <c r="D2" s="8" t="s">
        <v>234</v>
      </c>
      <c r="E2" s="8" t="s">
        <v>224</v>
      </c>
    </row>
    <row r="3" spans="1:5" x14ac:dyDescent="0.15">
      <c r="A3" s="4" t="s">
        <v>168</v>
      </c>
      <c r="B3" s="3" t="s">
        <v>96</v>
      </c>
      <c r="C3" s="8" t="s">
        <v>223</v>
      </c>
      <c r="D3" s="8" t="s">
        <v>235</v>
      </c>
      <c r="E3" s="8" t="s">
        <v>224</v>
      </c>
    </row>
    <row r="4" spans="1:5" x14ac:dyDescent="0.15">
      <c r="A4" s="4" t="s">
        <v>161</v>
      </c>
      <c r="B4" s="3" t="s">
        <v>89</v>
      </c>
      <c r="C4" s="8" t="s">
        <v>223</v>
      </c>
      <c r="D4" s="8" t="s">
        <v>236</v>
      </c>
      <c r="E4" s="8" t="s">
        <v>224</v>
      </c>
    </row>
    <row r="5" spans="1:5" x14ac:dyDescent="0.15">
      <c r="A5" s="4" t="s">
        <v>167</v>
      </c>
      <c r="B5" s="3" t="s">
        <v>95</v>
      </c>
      <c r="C5" s="8" t="s">
        <v>223</v>
      </c>
      <c r="D5" s="8" t="s">
        <v>237</v>
      </c>
      <c r="E5" s="8" t="s">
        <v>224</v>
      </c>
    </row>
    <row r="6" spans="1:5" x14ac:dyDescent="0.15">
      <c r="A6" s="4" t="s">
        <v>174</v>
      </c>
      <c r="B6" s="3" t="s">
        <v>102</v>
      </c>
      <c r="C6" s="8" t="s">
        <v>223</v>
      </c>
      <c r="D6" s="8" t="s">
        <v>238</v>
      </c>
      <c r="E6" s="8" t="s">
        <v>224</v>
      </c>
    </row>
    <row r="7" spans="1:5" x14ac:dyDescent="0.15">
      <c r="A7" s="4" t="s">
        <v>162</v>
      </c>
      <c r="B7" s="3" t="s">
        <v>90</v>
      </c>
      <c r="C7" s="8" t="s">
        <v>223</v>
      </c>
      <c r="D7" s="8" t="s">
        <v>239</v>
      </c>
      <c r="E7" s="8" t="s">
        <v>224</v>
      </c>
    </row>
    <row r="8" spans="1:5" x14ac:dyDescent="0.15">
      <c r="A8" s="4" t="s">
        <v>212</v>
      </c>
      <c r="B8" s="3" t="s">
        <v>80</v>
      </c>
      <c r="C8" s="8" t="s">
        <v>223</v>
      </c>
      <c r="D8" s="8" t="s">
        <v>240</v>
      </c>
      <c r="E8" s="8" t="s">
        <v>224</v>
      </c>
    </row>
    <row r="9" spans="1:5" x14ac:dyDescent="0.15">
      <c r="A9" s="4" t="s">
        <v>164</v>
      </c>
      <c r="B9" s="3" t="s">
        <v>92</v>
      </c>
      <c r="C9" s="8" t="s">
        <v>223</v>
      </c>
      <c r="D9" s="8" t="s">
        <v>241</v>
      </c>
      <c r="E9" s="8" t="s">
        <v>224</v>
      </c>
    </row>
    <row r="10" spans="1:5" x14ac:dyDescent="0.15">
      <c r="A10" s="4" t="s">
        <v>177</v>
      </c>
      <c r="B10" s="3" t="s">
        <v>105</v>
      </c>
      <c r="C10" s="8" t="s">
        <v>223</v>
      </c>
      <c r="D10" s="8" t="s">
        <v>242</v>
      </c>
      <c r="E10" s="8" t="s">
        <v>224</v>
      </c>
    </row>
    <row r="11" spans="1:5" x14ac:dyDescent="0.15">
      <c r="A11" s="4" t="s">
        <v>152</v>
      </c>
      <c r="B11" s="3" t="s">
        <v>79</v>
      </c>
      <c r="C11" s="8" t="s">
        <v>223</v>
      </c>
      <c r="D11" s="8" t="s">
        <v>243</v>
      </c>
      <c r="E11" s="8" t="s">
        <v>224</v>
      </c>
    </row>
    <row r="12" spans="1:5" x14ac:dyDescent="0.15">
      <c r="A12" s="4" t="s">
        <v>165</v>
      </c>
      <c r="B12" s="3" t="s">
        <v>93</v>
      </c>
      <c r="C12" s="8" t="s">
        <v>223</v>
      </c>
      <c r="D12" s="8" t="s">
        <v>244</v>
      </c>
      <c r="E12" s="8" t="s">
        <v>224</v>
      </c>
    </row>
    <row r="13" spans="1:5" x14ac:dyDescent="0.15">
      <c r="A13" s="4" t="s">
        <v>166</v>
      </c>
      <c r="B13" s="3" t="s">
        <v>94</v>
      </c>
      <c r="C13" s="8" t="s">
        <v>223</v>
      </c>
      <c r="D13" s="8" t="s">
        <v>245</v>
      </c>
      <c r="E13" s="8" t="s">
        <v>224</v>
      </c>
    </row>
    <row r="14" spans="1:5" x14ac:dyDescent="0.15">
      <c r="A14" s="4" t="s">
        <v>176</v>
      </c>
      <c r="B14" s="3" t="s">
        <v>104</v>
      </c>
      <c r="C14" s="8" t="s">
        <v>223</v>
      </c>
      <c r="D14" s="8" t="s">
        <v>246</v>
      </c>
      <c r="E14" s="8" t="s">
        <v>224</v>
      </c>
    </row>
    <row r="15" spans="1:5" x14ac:dyDescent="0.15">
      <c r="A15" s="4" t="s">
        <v>151</v>
      </c>
      <c r="B15" s="3" t="s">
        <v>78</v>
      </c>
      <c r="C15" s="8" t="s">
        <v>223</v>
      </c>
      <c r="D15" s="8" t="s">
        <v>247</v>
      </c>
      <c r="E15" s="8" t="s">
        <v>224</v>
      </c>
    </row>
    <row r="16" spans="1:5" x14ac:dyDescent="0.15">
      <c r="A16" s="4" t="s">
        <v>171</v>
      </c>
      <c r="B16" s="3" t="s">
        <v>99</v>
      </c>
      <c r="C16" s="8" t="s">
        <v>223</v>
      </c>
      <c r="D16" s="8" t="s">
        <v>248</v>
      </c>
      <c r="E16" s="8" t="s">
        <v>224</v>
      </c>
    </row>
    <row r="17" spans="1:5" x14ac:dyDescent="0.15">
      <c r="A17" s="4" t="s">
        <v>172</v>
      </c>
      <c r="B17" s="3" t="s">
        <v>100</v>
      </c>
      <c r="C17" s="8" t="s">
        <v>223</v>
      </c>
      <c r="D17" s="8" t="s">
        <v>249</v>
      </c>
      <c r="E17" s="8" t="s">
        <v>224</v>
      </c>
    </row>
    <row r="18" spans="1:5" x14ac:dyDescent="0.15">
      <c r="A18" s="4" t="s">
        <v>175</v>
      </c>
      <c r="B18" s="3" t="s">
        <v>103</v>
      </c>
      <c r="C18" s="8" t="s">
        <v>223</v>
      </c>
      <c r="D18" s="8" t="s">
        <v>250</v>
      </c>
      <c r="E18" s="8" t="s">
        <v>224</v>
      </c>
    </row>
    <row r="19" spans="1:5" x14ac:dyDescent="0.15">
      <c r="A19" s="4" t="s">
        <v>178</v>
      </c>
      <c r="B19" s="3" t="s">
        <v>106</v>
      </c>
      <c r="C19" s="8" t="s">
        <v>223</v>
      </c>
      <c r="D19" s="8" t="s">
        <v>251</v>
      </c>
      <c r="E19" s="8" t="s">
        <v>224</v>
      </c>
    </row>
    <row r="20" spans="1:5" x14ac:dyDescent="0.15">
      <c r="A20" s="4" t="s">
        <v>180</v>
      </c>
      <c r="B20" s="3" t="s">
        <v>5</v>
      </c>
      <c r="C20" s="8" t="s">
        <v>223</v>
      </c>
      <c r="D20" s="8" t="s">
        <v>252</v>
      </c>
      <c r="E20" s="8" t="s">
        <v>224</v>
      </c>
    </row>
    <row r="21" spans="1:5" x14ac:dyDescent="0.15">
      <c r="A21" s="4" t="s">
        <v>200</v>
      </c>
      <c r="B21" s="3" t="s">
        <v>25</v>
      </c>
      <c r="C21" s="8" t="s">
        <v>223</v>
      </c>
      <c r="D21" s="8" t="s">
        <v>253</v>
      </c>
      <c r="E21" s="8" t="s">
        <v>224</v>
      </c>
    </row>
    <row r="22" spans="1:5" x14ac:dyDescent="0.15">
      <c r="A22" s="4" t="s">
        <v>192</v>
      </c>
      <c r="B22" s="3" t="s">
        <v>17</v>
      </c>
      <c r="C22" s="8" t="s">
        <v>223</v>
      </c>
      <c r="D22" s="8" t="s">
        <v>254</v>
      </c>
      <c r="E22" s="8" t="s">
        <v>224</v>
      </c>
    </row>
    <row r="23" spans="1:5" x14ac:dyDescent="0.15">
      <c r="A23" s="4" t="s">
        <v>186</v>
      </c>
      <c r="B23" s="3" t="s">
        <v>11</v>
      </c>
      <c r="C23" s="8" t="s">
        <v>223</v>
      </c>
      <c r="D23" s="8" t="s">
        <v>255</v>
      </c>
      <c r="E23" s="8" t="s">
        <v>224</v>
      </c>
    </row>
    <row r="24" spans="1:5" x14ac:dyDescent="0.15">
      <c r="A24" s="4" t="s">
        <v>181</v>
      </c>
      <c r="B24" s="3" t="s">
        <v>6</v>
      </c>
      <c r="C24" s="8" t="s">
        <v>223</v>
      </c>
      <c r="D24" s="8" t="s">
        <v>256</v>
      </c>
      <c r="E24" s="8" t="s">
        <v>224</v>
      </c>
    </row>
    <row r="25" spans="1:5" x14ac:dyDescent="0.15">
      <c r="A25" s="4" t="s">
        <v>191</v>
      </c>
      <c r="B25" s="3" t="s">
        <v>16</v>
      </c>
      <c r="C25" s="8" t="s">
        <v>223</v>
      </c>
      <c r="D25" s="8" t="s">
        <v>257</v>
      </c>
      <c r="E25" s="8" t="s">
        <v>224</v>
      </c>
    </row>
    <row r="26" spans="1:5" x14ac:dyDescent="0.15">
      <c r="A26" s="4" t="s">
        <v>189</v>
      </c>
      <c r="B26" s="3" t="s">
        <v>14</v>
      </c>
      <c r="C26" s="8" t="s">
        <v>225</v>
      </c>
      <c r="D26" s="8" t="s">
        <v>258</v>
      </c>
      <c r="E26" s="8" t="s">
        <v>346</v>
      </c>
    </row>
    <row r="27" spans="1:5" x14ac:dyDescent="0.15">
      <c r="A27" s="4" t="s">
        <v>201</v>
      </c>
      <c r="B27" s="3" t="s">
        <v>26</v>
      </c>
      <c r="C27" s="8" t="s">
        <v>223</v>
      </c>
      <c r="D27" s="9" t="s">
        <v>259</v>
      </c>
      <c r="E27" s="8" t="s">
        <v>224</v>
      </c>
    </row>
    <row r="28" spans="1:5" x14ac:dyDescent="0.15">
      <c r="A28" s="4" t="s">
        <v>197</v>
      </c>
      <c r="B28" s="3" t="s">
        <v>22</v>
      </c>
      <c r="C28" s="8" t="s">
        <v>223</v>
      </c>
      <c r="D28" s="9" t="s">
        <v>260</v>
      </c>
      <c r="E28" s="8" t="s">
        <v>224</v>
      </c>
    </row>
    <row r="29" spans="1:5" x14ac:dyDescent="0.15">
      <c r="A29" s="4" t="s">
        <v>202</v>
      </c>
      <c r="B29" s="3" t="s">
        <v>27</v>
      </c>
      <c r="C29" s="8" t="s">
        <v>223</v>
      </c>
      <c r="D29" s="9" t="s">
        <v>261</v>
      </c>
      <c r="E29" s="8" t="s">
        <v>224</v>
      </c>
    </row>
    <row r="30" spans="1:5" x14ac:dyDescent="0.15">
      <c r="A30" s="4" t="s">
        <v>185</v>
      </c>
      <c r="B30" s="3" t="s">
        <v>8</v>
      </c>
      <c r="C30" s="8" t="s">
        <v>223</v>
      </c>
      <c r="D30" s="9" t="s">
        <v>262</v>
      </c>
      <c r="E30" s="8" t="s">
        <v>224</v>
      </c>
    </row>
    <row r="31" spans="1:5" x14ac:dyDescent="0.15">
      <c r="A31" s="4" t="s">
        <v>203</v>
      </c>
      <c r="B31" s="3" t="s">
        <v>28</v>
      </c>
      <c r="C31" s="8" t="s">
        <v>223</v>
      </c>
      <c r="D31" s="9" t="s">
        <v>263</v>
      </c>
      <c r="E31" s="8" t="s">
        <v>224</v>
      </c>
    </row>
    <row r="32" spans="1:5" x14ac:dyDescent="0.15">
      <c r="A32" s="4" t="s">
        <v>196</v>
      </c>
      <c r="B32" s="3" t="s">
        <v>21</v>
      </c>
      <c r="C32" s="8" t="s">
        <v>223</v>
      </c>
      <c r="D32" s="9" t="s">
        <v>264</v>
      </c>
      <c r="E32" s="8" t="s">
        <v>224</v>
      </c>
    </row>
    <row r="33" spans="1:5" x14ac:dyDescent="0.15">
      <c r="A33" s="4" t="s">
        <v>190</v>
      </c>
      <c r="B33" s="3" t="s">
        <v>15</v>
      </c>
      <c r="C33" s="8" t="s">
        <v>223</v>
      </c>
      <c r="D33" s="9" t="s">
        <v>265</v>
      </c>
      <c r="E33" s="8" t="s">
        <v>224</v>
      </c>
    </row>
    <row r="34" spans="1:5" x14ac:dyDescent="0.15">
      <c r="A34" s="4" t="s">
        <v>199</v>
      </c>
      <c r="B34" s="3" t="s">
        <v>24</v>
      </c>
      <c r="C34" s="8" t="s">
        <v>223</v>
      </c>
      <c r="D34" s="9" t="s">
        <v>266</v>
      </c>
      <c r="E34" s="8" t="s">
        <v>224</v>
      </c>
    </row>
    <row r="35" spans="1:5" x14ac:dyDescent="0.15">
      <c r="A35" s="4" t="s">
        <v>187</v>
      </c>
      <c r="B35" s="3" t="s">
        <v>12</v>
      </c>
      <c r="C35" s="8" t="s">
        <v>223</v>
      </c>
      <c r="D35" s="9" t="s">
        <v>267</v>
      </c>
      <c r="E35" s="8" t="s">
        <v>224</v>
      </c>
    </row>
    <row r="36" spans="1:5" x14ac:dyDescent="0.15">
      <c r="A36" s="4" t="s">
        <v>179</v>
      </c>
      <c r="B36" s="3" t="s">
        <v>4</v>
      </c>
      <c r="C36" s="8" t="s">
        <v>223</v>
      </c>
      <c r="D36" s="9" t="s">
        <v>268</v>
      </c>
      <c r="E36" s="8" t="s">
        <v>224</v>
      </c>
    </row>
    <row r="37" spans="1:5" x14ac:dyDescent="0.15">
      <c r="A37" s="4" t="s">
        <v>193</v>
      </c>
      <c r="B37" s="3" t="s">
        <v>18</v>
      </c>
      <c r="C37" s="8" t="s">
        <v>223</v>
      </c>
      <c r="D37" s="9" t="s">
        <v>269</v>
      </c>
      <c r="E37" s="8" t="s">
        <v>224</v>
      </c>
    </row>
    <row r="38" spans="1:5" x14ac:dyDescent="0.15">
      <c r="A38" s="4" t="s">
        <v>217</v>
      </c>
      <c r="B38" s="3" t="s">
        <v>216</v>
      </c>
      <c r="C38" s="8" t="s">
        <v>223</v>
      </c>
      <c r="D38" s="9" t="s">
        <v>270</v>
      </c>
      <c r="E38" s="8" t="s">
        <v>224</v>
      </c>
    </row>
    <row r="39" spans="1:5" x14ac:dyDescent="0.15">
      <c r="A39" s="4" t="s">
        <v>207</v>
      </c>
      <c r="B39" s="3" t="s">
        <v>34</v>
      </c>
      <c r="C39" s="8" t="s">
        <v>223</v>
      </c>
      <c r="D39" s="9" t="s">
        <v>271</v>
      </c>
      <c r="E39" s="8" t="s">
        <v>224</v>
      </c>
    </row>
    <row r="40" spans="1:5" x14ac:dyDescent="0.15">
      <c r="A40" s="4" t="s">
        <v>137</v>
      </c>
      <c r="B40" s="3" t="s">
        <v>48</v>
      </c>
      <c r="C40" s="8" t="s">
        <v>223</v>
      </c>
      <c r="D40" s="9" t="s">
        <v>272</v>
      </c>
      <c r="E40" s="8" t="s">
        <v>224</v>
      </c>
    </row>
    <row r="41" spans="1:5" x14ac:dyDescent="0.15">
      <c r="A41" s="4" t="s">
        <v>129</v>
      </c>
      <c r="B41" s="3" t="s">
        <v>40</v>
      </c>
      <c r="C41" s="8" t="s">
        <v>223</v>
      </c>
      <c r="D41" s="9" t="s">
        <v>273</v>
      </c>
      <c r="E41" s="8" t="s">
        <v>224</v>
      </c>
    </row>
    <row r="42" spans="1:5" x14ac:dyDescent="0.15">
      <c r="A42" s="4" t="s">
        <v>148</v>
      </c>
      <c r="B42" s="3" t="s">
        <v>59</v>
      </c>
      <c r="C42" s="8" t="s">
        <v>223</v>
      </c>
      <c r="D42" s="9" t="s">
        <v>274</v>
      </c>
      <c r="E42" s="8" t="s">
        <v>224</v>
      </c>
    </row>
    <row r="43" spans="1:5" x14ac:dyDescent="0.15">
      <c r="A43" s="4" t="s">
        <v>214</v>
      </c>
      <c r="B43" s="3" t="s">
        <v>39</v>
      </c>
      <c r="C43" s="8" t="s">
        <v>223</v>
      </c>
      <c r="D43" s="9" t="s">
        <v>275</v>
      </c>
      <c r="E43" s="8" t="s">
        <v>224</v>
      </c>
    </row>
    <row r="44" spans="1:5" x14ac:dyDescent="0.15">
      <c r="A44" s="4" t="s">
        <v>142</v>
      </c>
      <c r="B44" s="3" t="s">
        <v>53</v>
      </c>
      <c r="C44" s="8" t="s">
        <v>223</v>
      </c>
      <c r="D44" s="9" t="s">
        <v>276</v>
      </c>
      <c r="E44" s="8" t="s">
        <v>224</v>
      </c>
    </row>
    <row r="45" spans="1:5" x14ac:dyDescent="0.15">
      <c r="A45" s="4" t="s">
        <v>143</v>
      </c>
      <c r="B45" s="3" t="s">
        <v>54</v>
      </c>
      <c r="C45" s="8" t="s">
        <v>223</v>
      </c>
      <c r="D45" s="9" t="s">
        <v>277</v>
      </c>
      <c r="E45" s="8" t="s">
        <v>224</v>
      </c>
    </row>
    <row r="46" spans="1:5" x14ac:dyDescent="0.15">
      <c r="A46" s="4" t="s">
        <v>128</v>
      </c>
      <c r="B46" s="3" t="s">
        <v>38</v>
      </c>
      <c r="C46" s="8" t="s">
        <v>223</v>
      </c>
      <c r="D46" s="9" t="s">
        <v>278</v>
      </c>
      <c r="E46" s="8" t="s">
        <v>224</v>
      </c>
    </row>
    <row r="47" spans="1:5" x14ac:dyDescent="0.15">
      <c r="A47" s="4" t="s">
        <v>144</v>
      </c>
      <c r="B47" s="3" t="s">
        <v>55</v>
      </c>
      <c r="C47" s="8" t="s">
        <v>223</v>
      </c>
      <c r="D47" s="9" t="s">
        <v>279</v>
      </c>
      <c r="E47" s="8" t="s">
        <v>224</v>
      </c>
    </row>
    <row r="48" spans="1:5" x14ac:dyDescent="0.15">
      <c r="A48" s="4" t="s">
        <v>136</v>
      </c>
      <c r="B48" s="3" t="s">
        <v>47</v>
      </c>
      <c r="C48" s="8" t="s">
        <v>223</v>
      </c>
      <c r="D48" s="9" t="s">
        <v>280</v>
      </c>
      <c r="E48" s="8" t="s">
        <v>224</v>
      </c>
    </row>
    <row r="49" spans="1:5" x14ac:dyDescent="0.15">
      <c r="A49" s="4" t="s">
        <v>146</v>
      </c>
      <c r="B49" s="3" t="s">
        <v>57</v>
      </c>
      <c r="C49" s="8" t="s">
        <v>223</v>
      </c>
      <c r="D49" s="9" t="s">
        <v>281</v>
      </c>
      <c r="E49" s="8" t="s">
        <v>224</v>
      </c>
    </row>
    <row r="50" spans="1:5" x14ac:dyDescent="0.15">
      <c r="A50" s="4" t="s">
        <v>140</v>
      </c>
      <c r="B50" s="3" t="s">
        <v>51</v>
      </c>
      <c r="C50" s="8" t="s">
        <v>223</v>
      </c>
      <c r="D50" s="9" t="s">
        <v>282</v>
      </c>
      <c r="E50" s="8" t="s">
        <v>224</v>
      </c>
    </row>
    <row r="51" spans="1:5" x14ac:dyDescent="0.15">
      <c r="A51" s="4" t="s">
        <v>132</v>
      </c>
      <c r="B51" s="3" t="s">
        <v>43</v>
      </c>
      <c r="C51" s="8" t="s">
        <v>223</v>
      </c>
      <c r="D51" s="9" t="s">
        <v>283</v>
      </c>
      <c r="E51" s="8" t="s">
        <v>224</v>
      </c>
    </row>
    <row r="52" spans="1:5" x14ac:dyDescent="0.15">
      <c r="A52" s="4" t="s">
        <v>134</v>
      </c>
      <c r="B52" s="3" t="s">
        <v>45</v>
      </c>
      <c r="C52" s="8" t="s">
        <v>223</v>
      </c>
      <c r="D52" s="9" t="s">
        <v>284</v>
      </c>
      <c r="E52" s="8" t="s">
        <v>224</v>
      </c>
    </row>
    <row r="53" spans="1:5" x14ac:dyDescent="0.15">
      <c r="A53" s="4" t="s">
        <v>139</v>
      </c>
      <c r="B53" s="3" t="s">
        <v>50</v>
      </c>
      <c r="C53" s="8" t="s">
        <v>223</v>
      </c>
      <c r="D53" s="9" t="s">
        <v>285</v>
      </c>
      <c r="E53" s="8" t="s">
        <v>224</v>
      </c>
    </row>
    <row r="54" spans="1:5" x14ac:dyDescent="0.15">
      <c r="A54" s="4" t="s">
        <v>141</v>
      </c>
      <c r="B54" s="3" t="s">
        <v>52</v>
      </c>
      <c r="C54" s="8" t="s">
        <v>223</v>
      </c>
      <c r="D54" s="9" t="s">
        <v>286</v>
      </c>
      <c r="E54" s="8" t="s">
        <v>224</v>
      </c>
    </row>
    <row r="55" spans="1:5" x14ac:dyDescent="0.15">
      <c r="A55" s="4" t="s">
        <v>127</v>
      </c>
      <c r="B55" s="3" t="s">
        <v>37</v>
      </c>
      <c r="C55" s="8" t="s">
        <v>223</v>
      </c>
      <c r="D55" s="9" t="s">
        <v>287</v>
      </c>
      <c r="E55" s="8" t="s">
        <v>224</v>
      </c>
    </row>
    <row r="56" spans="1:5" x14ac:dyDescent="0.15">
      <c r="A56" s="4" t="s">
        <v>208</v>
      </c>
      <c r="B56" s="3" t="s">
        <v>35</v>
      </c>
      <c r="C56" s="8" t="s">
        <v>223</v>
      </c>
      <c r="D56" s="9" t="s">
        <v>288</v>
      </c>
      <c r="E56" s="8" t="s">
        <v>224</v>
      </c>
    </row>
    <row r="57" spans="1:5" x14ac:dyDescent="0.15">
      <c r="A57" s="4" t="s">
        <v>130</v>
      </c>
      <c r="B57" s="3" t="s">
        <v>41</v>
      </c>
      <c r="C57" s="8" t="s">
        <v>223</v>
      </c>
      <c r="D57" s="9" t="s">
        <v>289</v>
      </c>
      <c r="E57" s="8" t="s">
        <v>224</v>
      </c>
    </row>
    <row r="58" spans="1:5" x14ac:dyDescent="0.15">
      <c r="A58" s="3" t="s">
        <v>123</v>
      </c>
      <c r="B58" s="3" t="s">
        <v>76</v>
      </c>
      <c r="C58" s="8" t="s">
        <v>223</v>
      </c>
      <c r="D58" s="9" t="s">
        <v>290</v>
      </c>
      <c r="E58" s="8" t="s">
        <v>224</v>
      </c>
    </row>
    <row r="59" spans="1:5" x14ac:dyDescent="0.15">
      <c r="A59" s="3" t="s">
        <v>111</v>
      </c>
      <c r="B59" s="3" t="s">
        <v>64</v>
      </c>
      <c r="C59" s="8" t="s">
        <v>223</v>
      </c>
      <c r="D59" s="9" t="s">
        <v>291</v>
      </c>
      <c r="E59" s="8" t="s">
        <v>224</v>
      </c>
    </row>
    <row r="60" spans="1:5" x14ac:dyDescent="0.15">
      <c r="A60" s="3" t="s">
        <v>107</v>
      </c>
      <c r="B60" s="3" t="s">
        <v>60</v>
      </c>
      <c r="C60" s="8" t="s">
        <v>223</v>
      </c>
      <c r="D60" s="9" t="s">
        <v>292</v>
      </c>
      <c r="E60" s="8" t="s">
        <v>224</v>
      </c>
    </row>
    <row r="61" spans="1:5" x14ac:dyDescent="0.15">
      <c r="A61" s="3" t="s">
        <v>110</v>
      </c>
      <c r="B61" s="3" t="s">
        <v>63</v>
      </c>
      <c r="C61" s="8" t="s">
        <v>223</v>
      </c>
      <c r="D61" s="9" t="s">
        <v>293</v>
      </c>
      <c r="E61" s="8" t="s">
        <v>224</v>
      </c>
    </row>
    <row r="62" spans="1:5" x14ac:dyDescent="0.15">
      <c r="A62" s="3" t="s">
        <v>108</v>
      </c>
      <c r="B62" s="3" t="s">
        <v>61</v>
      </c>
      <c r="C62" s="8" t="s">
        <v>223</v>
      </c>
      <c r="D62" s="9" t="s">
        <v>294</v>
      </c>
      <c r="E62" s="8" t="s">
        <v>224</v>
      </c>
    </row>
    <row r="63" spans="1:5" x14ac:dyDescent="0.15">
      <c r="A63" s="3" t="s">
        <v>122</v>
      </c>
      <c r="B63" s="3" t="s">
        <v>75</v>
      </c>
      <c r="C63" s="8" t="s">
        <v>223</v>
      </c>
      <c r="D63" s="9" t="s">
        <v>295</v>
      </c>
      <c r="E63" s="8" t="s">
        <v>224</v>
      </c>
    </row>
    <row r="64" spans="1:5" x14ac:dyDescent="0.15">
      <c r="A64" s="4" t="s">
        <v>157</v>
      </c>
      <c r="B64" s="3" t="s">
        <v>85</v>
      </c>
      <c r="C64" s="8" t="s">
        <v>223</v>
      </c>
      <c r="D64" s="9" t="s">
        <v>296</v>
      </c>
      <c r="E64" s="8" t="s">
        <v>224</v>
      </c>
    </row>
    <row r="65" spans="1:5" x14ac:dyDescent="0.15">
      <c r="A65" s="4" t="s">
        <v>158</v>
      </c>
      <c r="B65" s="3" t="s">
        <v>86</v>
      </c>
      <c r="C65" s="8" t="s">
        <v>223</v>
      </c>
      <c r="D65" s="9" t="s">
        <v>297</v>
      </c>
      <c r="E65" s="8" t="s">
        <v>224</v>
      </c>
    </row>
    <row r="66" spans="1:5" x14ac:dyDescent="0.15">
      <c r="A66" s="4" t="s">
        <v>153</v>
      </c>
      <c r="B66" s="3" t="s">
        <v>81</v>
      </c>
      <c r="C66" s="8" t="s">
        <v>223</v>
      </c>
      <c r="D66" s="9" t="s">
        <v>298</v>
      </c>
      <c r="E66" s="8" t="s">
        <v>224</v>
      </c>
    </row>
    <row r="67" spans="1:5" x14ac:dyDescent="0.15">
      <c r="A67" s="4" t="s">
        <v>156</v>
      </c>
      <c r="B67" s="3" t="s">
        <v>84</v>
      </c>
      <c r="C67" s="8" t="s">
        <v>223</v>
      </c>
      <c r="D67" s="9" t="s">
        <v>299</v>
      </c>
      <c r="E67" s="8" t="s">
        <v>224</v>
      </c>
    </row>
    <row r="68" spans="1:5" x14ac:dyDescent="0.15">
      <c r="A68" s="4" t="s">
        <v>154</v>
      </c>
      <c r="B68" s="3" t="s">
        <v>82</v>
      </c>
      <c r="C68" s="8" t="s">
        <v>223</v>
      </c>
      <c r="D68" s="9" t="s">
        <v>300</v>
      </c>
      <c r="E68" s="8" t="s">
        <v>224</v>
      </c>
    </row>
    <row r="69" spans="1:5" x14ac:dyDescent="0.15">
      <c r="A69" s="4" t="s">
        <v>155</v>
      </c>
      <c r="B69" s="3" t="s">
        <v>83</v>
      </c>
      <c r="C69" s="8" t="s">
        <v>223</v>
      </c>
      <c r="D69" s="9" t="s">
        <v>301</v>
      </c>
      <c r="E69" s="8" t="s">
        <v>224</v>
      </c>
    </row>
    <row r="70" spans="1:5" x14ac:dyDescent="0.15">
      <c r="A70" s="4" t="s">
        <v>206</v>
      </c>
      <c r="B70" s="3" t="s">
        <v>31</v>
      </c>
      <c r="C70" s="8" t="s">
        <v>223</v>
      </c>
      <c r="D70" s="9" t="s">
        <v>302</v>
      </c>
      <c r="E70" s="8" t="s">
        <v>224</v>
      </c>
    </row>
    <row r="71" spans="1:5" x14ac:dyDescent="0.15">
      <c r="A71" s="4" t="s">
        <v>204</v>
      </c>
      <c r="B71" s="3" t="s">
        <v>29</v>
      </c>
      <c r="C71" s="8" t="s">
        <v>223</v>
      </c>
      <c r="D71" s="9" t="s">
        <v>303</v>
      </c>
      <c r="E71" s="8" t="s">
        <v>224</v>
      </c>
    </row>
    <row r="72" spans="1:5" x14ac:dyDescent="0.15">
      <c r="A72" s="4" t="s">
        <v>205</v>
      </c>
      <c r="B72" s="3" t="s">
        <v>30</v>
      </c>
      <c r="C72" s="8" t="s">
        <v>223</v>
      </c>
      <c r="D72" s="9" t="s">
        <v>304</v>
      </c>
      <c r="E72" s="8" t="s">
        <v>224</v>
      </c>
    </row>
    <row r="73" spans="1:5" x14ac:dyDescent="0.15">
      <c r="A73" s="3" t="s">
        <v>114</v>
      </c>
      <c r="B73" s="3" t="s">
        <v>67</v>
      </c>
      <c r="C73" s="8" t="s">
        <v>223</v>
      </c>
      <c r="D73" s="9" t="s">
        <v>305</v>
      </c>
      <c r="E73" s="8" t="s">
        <v>224</v>
      </c>
    </row>
    <row r="74" spans="1:5" x14ac:dyDescent="0.15">
      <c r="A74" s="3" t="s">
        <v>113</v>
      </c>
      <c r="B74" s="3" t="s">
        <v>66</v>
      </c>
      <c r="C74" s="8" t="s">
        <v>223</v>
      </c>
      <c r="D74" s="9" t="s">
        <v>306</v>
      </c>
      <c r="E74" s="8" t="s">
        <v>224</v>
      </c>
    </row>
    <row r="75" spans="1:5" x14ac:dyDescent="0.15">
      <c r="A75" s="3" t="s">
        <v>115</v>
      </c>
      <c r="B75" s="3" t="s">
        <v>68</v>
      </c>
      <c r="C75" s="8" t="s">
        <v>223</v>
      </c>
      <c r="D75" s="9" t="s">
        <v>307</v>
      </c>
      <c r="E75" s="8" t="s">
        <v>224</v>
      </c>
    </row>
    <row r="76" spans="1:5" x14ac:dyDescent="0.15">
      <c r="A76" s="3" t="s">
        <v>119</v>
      </c>
      <c r="B76" s="3" t="s">
        <v>72</v>
      </c>
      <c r="C76" s="8" t="s">
        <v>223</v>
      </c>
      <c r="D76" s="9" t="s">
        <v>308</v>
      </c>
      <c r="E76" s="8" t="s">
        <v>224</v>
      </c>
    </row>
    <row r="77" spans="1:5" x14ac:dyDescent="0.15">
      <c r="A77" s="3" t="s">
        <v>109</v>
      </c>
      <c r="B77" s="3" t="s">
        <v>62</v>
      </c>
      <c r="C77" s="8" t="s">
        <v>223</v>
      </c>
      <c r="D77" s="9" t="s">
        <v>309</v>
      </c>
      <c r="E77" s="8" t="s">
        <v>224</v>
      </c>
    </row>
    <row r="78" spans="1:5" x14ac:dyDescent="0.15">
      <c r="A78" s="3" t="s">
        <v>112</v>
      </c>
      <c r="B78" s="3" t="s">
        <v>65</v>
      </c>
      <c r="C78" s="8" t="s">
        <v>223</v>
      </c>
      <c r="D78" s="9" t="s">
        <v>310</v>
      </c>
      <c r="E78" s="8" t="s">
        <v>224</v>
      </c>
    </row>
    <row r="79" spans="1:5" x14ac:dyDescent="0.15">
      <c r="A79" s="3" t="s">
        <v>117</v>
      </c>
      <c r="B79" s="3" t="s">
        <v>70</v>
      </c>
      <c r="C79" s="8" t="s">
        <v>223</v>
      </c>
      <c r="D79" s="9" t="s">
        <v>311</v>
      </c>
      <c r="E79" s="8" t="s">
        <v>224</v>
      </c>
    </row>
    <row r="80" spans="1:5" x14ac:dyDescent="0.15">
      <c r="A80" s="3" t="s">
        <v>116</v>
      </c>
      <c r="B80" s="3" t="s">
        <v>69</v>
      </c>
      <c r="C80" s="8" t="s">
        <v>223</v>
      </c>
      <c r="D80" s="9" t="s">
        <v>312</v>
      </c>
      <c r="E80" s="8" t="s">
        <v>224</v>
      </c>
    </row>
    <row r="81" spans="1:5" x14ac:dyDescent="0.15">
      <c r="A81" s="4" t="s">
        <v>169</v>
      </c>
      <c r="B81" s="3" t="s">
        <v>97</v>
      </c>
      <c r="C81" s="8" t="s">
        <v>223</v>
      </c>
      <c r="D81" s="9" t="s">
        <v>313</v>
      </c>
      <c r="E81" s="8" t="s">
        <v>224</v>
      </c>
    </row>
    <row r="82" spans="1:5" x14ac:dyDescent="0.15">
      <c r="A82" s="4" t="s">
        <v>160</v>
      </c>
      <c r="B82" s="3" t="s">
        <v>88</v>
      </c>
      <c r="C82" s="8" t="s">
        <v>223</v>
      </c>
      <c r="D82" s="9" t="s">
        <v>314</v>
      </c>
      <c r="E82" s="8" t="s">
        <v>224</v>
      </c>
    </row>
    <row r="83" spans="1:5" x14ac:dyDescent="0.15">
      <c r="A83" s="4" t="s">
        <v>163</v>
      </c>
      <c r="B83" s="3" t="s">
        <v>91</v>
      </c>
      <c r="C83" s="8" t="s">
        <v>223</v>
      </c>
      <c r="D83" s="9" t="s">
        <v>315</v>
      </c>
      <c r="E83" s="8" t="s">
        <v>224</v>
      </c>
    </row>
    <row r="84" spans="1:5" x14ac:dyDescent="0.15">
      <c r="A84" s="4" t="s">
        <v>173</v>
      </c>
      <c r="B84" s="3" t="s">
        <v>101</v>
      </c>
      <c r="C84" s="8" t="s">
        <v>223</v>
      </c>
      <c r="D84" s="9" t="s">
        <v>316</v>
      </c>
      <c r="E84" s="8" t="s">
        <v>224</v>
      </c>
    </row>
    <row r="85" spans="1:5" x14ac:dyDescent="0.15">
      <c r="A85" s="4" t="s">
        <v>170</v>
      </c>
      <c r="B85" s="3" t="s">
        <v>98</v>
      </c>
      <c r="C85" s="8" t="s">
        <v>223</v>
      </c>
      <c r="D85" s="9" t="s">
        <v>317</v>
      </c>
      <c r="E85" s="8" t="s">
        <v>224</v>
      </c>
    </row>
    <row r="86" spans="1:5" x14ac:dyDescent="0.15">
      <c r="A86" s="4" t="s">
        <v>159</v>
      </c>
      <c r="B86" s="3" t="s">
        <v>87</v>
      </c>
      <c r="C86" s="8" t="s">
        <v>223</v>
      </c>
      <c r="D86" s="9" t="s">
        <v>318</v>
      </c>
      <c r="E86" s="8" t="s">
        <v>224</v>
      </c>
    </row>
    <row r="87" spans="1:5" x14ac:dyDescent="0.15">
      <c r="A87" s="4" t="s">
        <v>125</v>
      </c>
      <c r="B87" s="3" t="s">
        <v>32</v>
      </c>
      <c r="C87" s="8" t="s">
        <v>223</v>
      </c>
      <c r="D87" s="9" t="s">
        <v>319</v>
      </c>
      <c r="E87" s="8" t="s">
        <v>224</v>
      </c>
    </row>
    <row r="88" spans="1:5" x14ac:dyDescent="0.15">
      <c r="A88" s="4" t="s">
        <v>126</v>
      </c>
      <c r="B88" s="3" t="s">
        <v>33</v>
      </c>
      <c r="C88" s="8" t="s">
        <v>223</v>
      </c>
      <c r="D88" s="9" t="s">
        <v>320</v>
      </c>
      <c r="E88" s="8" t="s">
        <v>224</v>
      </c>
    </row>
    <row r="89" spans="1:5" x14ac:dyDescent="0.15">
      <c r="A89" s="4" t="s">
        <v>182</v>
      </c>
      <c r="B89" s="3" t="s">
        <v>7</v>
      </c>
      <c r="C89" s="8" t="s">
        <v>223</v>
      </c>
      <c r="D89" s="9" t="s">
        <v>321</v>
      </c>
      <c r="E89" s="8" t="s">
        <v>224</v>
      </c>
    </row>
    <row r="90" spans="1:5" x14ac:dyDescent="0.15">
      <c r="A90" s="4" t="s">
        <v>194</v>
      </c>
      <c r="B90" s="3" t="s">
        <v>19</v>
      </c>
      <c r="C90" s="8" t="s">
        <v>223</v>
      </c>
      <c r="D90" s="9" t="s">
        <v>322</v>
      </c>
      <c r="E90" s="8" t="s">
        <v>224</v>
      </c>
    </row>
    <row r="91" spans="1:5" x14ac:dyDescent="0.15">
      <c r="A91" s="4" t="s">
        <v>183</v>
      </c>
      <c r="B91" s="3" t="s">
        <v>9</v>
      </c>
      <c r="C91" s="8" t="s">
        <v>223</v>
      </c>
      <c r="D91" s="9" t="s">
        <v>323</v>
      </c>
      <c r="E91" s="8" t="s">
        <v>224</v>
      </c>
    </row>
    <row r="92" spans="1:5" x14ac:dyDescent="0.15">
      <c r="A92" s="4" t="s">
        <v>184</v>
      </c>
      <c r="B92" s="3" t="s">
        <v>10</v>
      </c>
      <c r="C92" s="8" t="s">
        <v>223</v>
      </c>
      <c r="D92" s="9" t="s">
        <v>324</v>
      </c>
      <c r="E92" s="8" t="s">
        <v>224</v>
      </c>
    </row>
    <row r="93" spans="1:5" x14ac:dyDescent="0.15">
      <c r="A93" s="4" t="s">
        <v>188</v>
      </c>
      <c r="B93" s="3" t="s">
        <v>13</v>
      </c>
      <c r="C93" s="8" t="s">
        <v>223</v>
      </c>
      <c r="D93" s="9" t="s">
        <v>325</v>
      </c>
      <c r="E93" s="8" t="s">
        <v>224</v>
      </c>
    </row>
    <row r="94" spans="1:5" x14ac:dyDescent="0.15">
      <c r="A94" s="4" t="s">
        <v>198</v>
      </c>
      <c r="B94" s="3" t="s">
        <v>23</v>
      </c>
      <c r="C94" s="8" t="s">
        <v>223</v>
      </c>
      <c r="D94" s="9" t="s">
        <v>326</v>
      </c>
      <c r="E94" s="8" t="s">
        <v>224</v>
      </c>
    </row>
    <row r="95" spans="1:5" x14ac:dyDescent="0.15">
      <c r="A95" s="4" t="s">
        <v>195</v>
      </c>
      <c r="B95" s="3" t="s">
        <v>20</v>
      </c>
      <c r="C95" s="8" t="s">
        <v>223</v>
      </c>
      <c r="D95" s="9" t="s">
        <v>327</v>
      </c>
      <c r="E95" s="8" t="s">
        <v>224</v>
      </c>
    </row>
    <row r="96" spans="1:5" x14ac:dyDescent="0.15">
      <c r="A96" s="4" t="s">
        <v>138</v>
      </c>
      <c r="B96" s="3" t="s">
        <v>49</v>
      </c>
      <c r="C96" s="8" t="s">
        <v>223</v>
      </c>
      <c r="D96" s="9" t="s">
        <v>328</v>
      </c>
      <c r="E96" s="8" t="s">
        <v>224</v>
      </c>
    </row>
    <row r="97" spans="1:5" x14ac:dyDescent="0.15">
      <c r="A97" s="4" t="s">
        <v>131</v>
      </c>
      <c r="B97" s="3" t="s">
        <v>42</v>
      </c>
      <c r="C97" s="8" t="s">
        <v>223</v>
      </c>
      <c r="D97" s="9" t="s">
        <v>329</v>
      </c>
      <c r="E97" s="8" t="s">
        <v>224</v>
      </c>
    </row>
    <row r="98" spans="1:5" x14ac:dyDescent="0.15">
      <c r="A98" s="4" t="s">
        <v>145</v>
      </c>
      <c r="B98" s="3" t="s">
        <v>56</v>
      </c>
      <c r="C98" s="8" t="s">
        <v>223</v>
      </c>
      <c r="D98" s="9" t="s">
        <v>330</v>
      </c>
      <c r="E98" s="8" t="s">
        <v>224</v>
      </c>
    </row>
    <row r="99" spans="1:5" x14ac:dyDescent="0.15">
      <c r="A99" s="4" t="s">
        <v>135</v>
      </c>
      <c r="B99" s="3" t="s">
        <v>46</v>
      </c>
      <c r="C99" s="8" t="s">
        <v>223</v>
      </c>
      <c r="D99" s="9" t="s">
        <v>331</v>
      </c>
      <c r="E99" s="8" t="s">
        <v>224</v>
      </c>
    </row>
    <row r="100" spans="1:5" x14ac:dyDescent="0.15">
      <c r="A100" s="4" t="s">
        <v>133</v>
      </c>
      <c r="B100" s="3" t="s">
        <v>44</v>
      </c>
      <c r="C100" s="8" t="s">
        <v>223</v>
      </c>
      <c r="D100" s="9" t="s">
        <v>332</v>
      </c>
      <c r="E100" s="8" t="s">
        <v>224</v>
      </c>
    </row>
    <row r="101" spans="1:5" x14ac:dyDescent="0.15">
      <c r="A101" s="4" t="s">
        <v>147</v>
      </c>
      <c r="B101" s="3" t="s">
        <v>58</v>
      </c>
      <c r="C101" s="8" t="s">
        <v>223</v>
      </c>
      <c r="D101" s="9" t="s">
        <v>333</v>
      </c>
      <c r="E101" s="8" t="s">
        <v>224</v>
      </c>
    </row>
    <row r="102" spans="1:5" x14ac:dyDescent="0.15">
      <c r="A102" s="4" t="s">
        <v>213</v>
      </c>
      <c r="B102" s="3" t="s">
        <v>36</v>
      </c>
      <c r="C102" s="8" t="s">
        <v>223</v>
      </c>
      <c r="D102" s="9" t="s">
        <v>334</v>
      </c>
      <c r="E102" s="8" t="s">
        <v>224</v>
      </c>
    </row>
    <row r="103" spans="1:5" x14ac:dyDescent="0.15">
      <c r="A103" s="3" t="s">
        <v>120</v>
      </c>
      <c r="B103" s="3" t="s">
        <v>73</v>
      </c>
      <c r="C103" s="8" t="s">
        <v>223</v>
      </c>
      <c r="D103" s="9" t="s">
        <v>335</v>
      </c>
      <c r="E103" s="8" t="s">
        <v>224</v>
      </c>
    </row>
    <row r="104" spans="1:5" x14ac:dyDescent="0.15">
      <c r="A104" s="3" t="s">
        <v>118</v>
      </c>
      <c r="B104" s="3" t="s">
        <v>71</v>
      </c>
      <c r="C104" s="8" t="s">
        <v>223</v>
      </c>
      <c r="D104" s="9" t="s">
        <v>336</v>
      </c>
      <c r="E104" s="8" t="s">
        <v>224</v>
      </c>
    </row>
    <row r="105" spans="1:5" x14ac:dyDescent="0.15">
      <c r="A105" s="3" t="s">
        <v>124</v>
      </c>
      <c r="B105" s="3" t="s">
        <v>215</v>
      </c>
      <c r="C105" s="8" t="s">
        <v>223</v>
      </c>
      <c r="D105" s="9" t="s">
        <v>337</v>
      </c>
      <c r="E105" s="8" t="s">
        <v>224</v>
      </c>
    </row>
    <row r="106" spans="1:5" x14ac:dyDescent="0.15">
      <c r="A106" s="3" t="s">
        <v>121</v>
      </c>
      <c r="B106" s="3" t="s">
        <v>74</v>
      </c>
      <c r="C106" s="8" t="s">
        <v>223</v>
      </c>
      <c r="D106" s="9" t="s">
        <v>338</v>
      </c>
      <c r="E106" s="8" t="s">
        <v>347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4"/>
  <sheetViews>
    <sheetView workbookViewId="0">
      <selection activeCell="C9" sqref="C9"/>
    </sheetView>
  </sheetViews>
  <sheetFormatPr defaultRowHeight="13.5" x14ac:dyDescent="0.15"/>
  <sheetData>
    <row r="1" spans="1:2" x14ac:dyDescent="0.15">
      <c r="A1" s="9" t="s">
        <v>343</v>
      </c>
      <c r="B1" s="9" t="s">
        <v>344</v>
      </c>
    </row>
    <row r="2" spans="1:2" x14ac:dyDescent="0.15">
      <c r="A2" s="3" t="s">
        <v>220</v>
      </c>
      <c r="B2" s="9">
        <v>1000</v>
      </c>
    </row>
    <row r="3" spans="1:2" x14ac:dyDescent="0.15">
      <c r="A3" s="3" t="s">
        <v>222</v>
      </c>
      <c r="B3" s="9">
        <v>800</v>
      </c>
    </row>
    <row r="4" spans="1:2" x14ac:dyDescent="0.15">
      <c r="A4" s="3" t="s">
        <v>221</v>
      </c>
      <c r="B4" s="9">
        <v>1200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6"/>
  <sheetViews>
    <sheetView workbookViewId="0">
      <selection activeCell="G35" sqref="G35"/>
    </sheetView>
  </sheetViews>
  <sheetFormatPr defaultRowHeight="13.5" x14ac:dyDescent="0.15"/>
  <cols>
    <col min="3" max="3" width="10.75" customWidth="1"/>
    <col min="4" max="4" width="21.125" customWidth="1"/>
  </cols>
  <sheetData>
    <row r="1" spans="1:8" ht="40.5" x14ac:dyDescent="0.15">
      <c r="A1" s="10" t="s">
        <v>226</v>
      </c>
      <c r="B1" s="10" t="s">
        <v>227</v>
      </c>
      <c r="C1" s="10" t="s">
        <v>228</v>
      </c>
      <c r="D1" s="10" t="s">
        <v>229</v>
      </c>
      <c r="E1" s="10" t="s">
        <v>230</v>
      </c>
      <c r="F1" s="10" t="s">
        <v>231</v>
      </c>
      <c r="G1" s="10" t="s">
        <v>232</v>
      </c>
      <c r="H1" s="5" t="s">
        <v>233</v>
      </c>
    </row>
    <row r="2" spans="1:8" x14ac:dyDescent="0.15">
      <c r="A2" s="5">
        <v>1</v>
      </c>
      <c r="B2" s="3" t="s">
        <v>77</v>
      </c>
      <c r="C2" s="4" t="s">
        <v>209</v>
      </c>
      <c r="D2" s="3" t="s">
        <v>234</v>
      </c>
      <c r="E2" s="6"/>
      <c r="F2" s="6"/>
      <c r="G2" s="6"/>
      <c r="H2" s="7" t="s">
        <v>224</v>
      </c>
    </row>
    <row r="3" spans="1:8" x14ac:dyDescent="0.15">
      <c r="A3" s="5">
        <f>A2+1</f>
        <v>2</v>
      </c>
      <c r="B3" s="3" t="s">
        <v>96</v>
      </c>
      <c r="C3" s="4" t="s">
        <v>168</v>
      </c>
      <c r="D3" s="3" t="s">
        <v>235</v>
      </c>
      <c r="E3" s="6"/>
      <c r="F3" s="6"/>
      <c r="G3" s="6"/>
      <c r="H3" s="7" t="s">
        <v>224</v>
      </c>
    </row>
    <row r="4" spans="1:8" x14ac:dyDescent="0.15">
      <c r="A4" s="5">
        <f t="shared" ref="A4:A67" si="0">A3+1</f>
        <v>3</v>
      </c>
      <c r="B4" s="3" t="s">
        <v>89</v>
      </c>
      <c r="C4" s="4" t="s">
        <v>161</v>
      </c>
      <c r="D4" s="3" t="s">
        <v>236</v>
      </c>
      <c r="E4" s="6"/>
      <c r="F4" s="6"/>
      <c r="G4" s="6"/>
      <c r="H4" s="7" t="s">
        <v>224</v>
      </c>
    </row>
    <row r="5" spans="1:8" x14ac:dyDescent="0.15">
      <c r="A5" s="5">
        <f t="shared" si="0"/>
        <v>4</v>
      </c>
      <c r="B5" s="3" t="s">
        <v>95</v>
      </c>
      <c r="C5" s="4" t="s">
        <v>167</v>
      </c>
      <c r="D5" s="3" t="s">
        <v>237</v>
      </c>
      <c r="E5" s="6"/>
      <c r="F5" s="6"/>
      <c r="G5" s="6"/>
      <c r="H5" s="7" t="s">
        <v>224</v>
      </c>
    </row>
    <row r="6" spans="1:8" x14ac:dyDescent="0.15">
      <c r="A6" s="5">
        <f t="shared" si="0"/>
        <v>5</v>
      </c>
      <c r="B6" s="3" t="s">
        <v>102</v>
      </c>
      <c r="C6" s="4" t="s">
        <v>174</v>
      </c>
      <c r="D6" s="3" t="s">
        <v>238</v>
      </c>
      <c r="E6" s="6"/>
      <c r="F6" s="6"/>
      <c r="G6" s="6"/>
      <c r="H6" s="7" t="s">
        <v>224</v>
      </c>
    </row>
    <row r="7" spans="1:8" x14ac:dyDescent="0.15">
      <c r="A7" s="5">
        <f t="shared" si="0"/>
        <v>6</v>
      </c>
      <c r="B7" s="3" t="s">
        <v>90</v>
      </c>
      <c r="C7" s="4" t="s">
        <v>162</v>
      </c>
      <c r="D7" s="3" t="s">
        <v>239</v>
      </c>
      <c r="E7" s="6"/>
      <c r="F7" s="6"/>
      <c r="G7" s="6"/>
      <c r="H7" s="7" t="s">
        <v>224</v>
      </c>
    </row>
    <row r="8" spans="1:8" x14ac:dyDescent="0.15">
      <c r="A8" s="5">
        <f t="shared" si="0"/>
        <v>7</v>
      </c>
      <c r="B8" s="3" t="s">
        <v>80</v>
      </c>
      <c r="C8" s="4" t="s">
        <v>212</v>
      </c>
      <c r="D8" s="3" t="s">
        <v>240</v>
      </c>
      <c r="E8" s="6"/>
      <c r="F8" s="6"/>
      <c r="G8" s="6"/>
      <c r="H8" s="7" t="s">
        <v>224</v>
      </c>
    </row>
    <row r="9" spans="1:8" x14ac:dyDescent="0.15">
      <c r="A9" s="5">
        <f t="shared" si="0"/>
        <v>8</v>
      </c>
      <c r="B9" s="3" t="s">
        <v>92</v>
      </c>
      <c r="C9" s="4" t="s">
        <v>164</v>
      </c>
      <c r="D9" s="3" t="s">
        <v>241</v>
      </c>
      <c r="E9" s="6"/>
      <c r="F9" s="6"/>
      <c r="G9" s="6"/>
      <c r="H9" s="7" t="s">
        <v>224</v>
      </c>
    </row>
    <row r="10" spans="1:8" x14ac:dyDescent="0.15">
      <c r="A10" s="5">
        <f t="shared" si="0"/>
        <v>9</v>
      </c>
      <c r="B10" s="3" t="s">
        <v>105</v>
      </c>
      <c r="C10" s="4" t="s">
        <v>177</v>
      </c>
      <c r="D10" s="3" t="s">
        <v>242</v>
      </c>
      <c r="E10" s="6"/>
      <c r="F10" s="6"/>
      <c r="G10" s="6"/>
      <c r="H10" s="7" t="s">
        <v>224</v>
      </c>
    </row>
    <row r="11" spans="1:8" x14ac:dyDescent="0.15">
      <c r="A11" s="5">
        <f t="shared" si="0"/>
        <v>10</v>
      </c>
      <c r="B11" s="3" t="s">
        <v>79</v>
      </c>
      <c r="C11" s="4" t="s">
        <v>152</v>
      </c>
      <c r="D11" s="3" t="s">
        <v>243</v>
      </c>
      <c r="E11" s="6"/>
      <c r="F11" s="6"/>
      <c r="G11" s="6"/>
      <c r="H11" s="7" t="s">
        <v>224</v>
      </c>
    </row>
    <row r="12" spans="1:8" x14ac:dyDescent="0.15">
      <c r="A12" s="5">
        <f t="shared" si="0"/>
        <v>11</v>
      </c>
      <c r="B12" s="3" t="s">
        <v>93</v>
      </c>
      <c r="C12" s="4" t="s">
        <v>165</v>
      </c>
      <c r="D12" s="3" t="s">
        <v>244</v>
      </c>
      <c r="E12" s="6"/>
      <c r="F12" s="6"/>
      <c r="G12" s="6"/>
      <c r="H12" s="7" t="s">
        <v>224</v>
      </c>
    </row>
    <row r="13" spans="1:8" x14ac:dyDescent="0.15">
      <c r="A13" s="5">
        <f t="shared" si="0"/>
        <v>12</v>
      </c>
      <c r="B13" s="3" t="s">
        <v>94</v>
      </c>
      <c r="C13" s="4" t="s">
        <v>166</v>
      </c>
      <c r="D13" s="3" t="s">
        <v>245</v>
      </c>
      <c r="E13" s="6"/>
      <c r="F13" s="6"/>
      <c r="G13" s="6"/>
      <c r="H13" s="7" t="s">
        <v>224</v>
      </c>
    </row>
    <row r="14" spans="1:8" x14ac:dyDescent="0.15">
      <c r="A14" s="5">
        <f t="shared" si="0"/>
        <v>13</v>
      </c>
      <c r="B14" s="3" t="s">
        <v>104</v>
      </c>
      <c r="C14" s="4" t="s">
        <v>176</v>
      </c>
      <c r="D14" s="3" t="s">
        <v>246</v>
      </c>
      <c r="E14" s="6"/>
      <c r="F14" s="6"/>
      <c r="G14" s="6"/>
      <c r="H14" s="7" t="s">
        <v>224</v>
      </c>
    </row>
    <row r="15" spans="1:8" x14ac:dyDescent="0.15">
      <c r="A15" s="5">
        <f t="shared" si="0"/>
        <v>14</v>
      </c>
      <c r="B15" s="3" t="s">
        <v>78</v>
      </c>
      <c r="C15" s="4" t="s">
        <v>151</v>
      </c>
      <c r="D15" s="3" t="s">
        <v>247</v>
      </c>
      <c r="E15" s="6"/>
      <c r="F15" s="6"/>
      <c r="G15" s="6"/>
      <c r="H15" s="7" t="s">
        <v>224</v>
      </c>
    </row>
    <row r="16" spans="1:8" x14ac:dyDescent="0.15">
      <c r="A16" s="5">
        <f t="shared" si="0"/>
        <v>15</v>
      </c>
      <c r="B16" s="3" t="s">
        <v>99</v>
      </c>
      <c r="C16" s="4" t="s">
        <v>171</v>
      </c>
      <c r="D16" s="3" t="s">
        <v>248</v>
      </c>
      <c r="E16" s="6"/>
      <c r="F16" s="6"/>
      <c r="G16" s="6"/>
      <c r="H16" s="7" t="s">
        <v>224</v>
      </c>
    </row>
    <row r="17" spans="1:8" x14ac:dyDescent="0.15">
      <c r="A17" s="5">
        <f t="shared" si="0"/>
        <v>16</v>
      </c>
      <c r="B17" s="3" t="s">
        <v>100</v>
      </c>
      <c r="C17" s="4" t="s">
        <v>172</v>
      </c>
      <c r="D17" s="3" t="s">
        <v>249</v>
      </c>
      <c r="E17" s="6"/>
      <c r="F17" s="6"/>
      <c r="G17" s="6"/>
      <c r="H17" s="7" t="s">
        <v>224</v>
      </c>
    </row>
    <row r="18" spans="1:8" x14ac:dyDescent="0.15">
      <c r="A18" s="5">
        <f t="shared" si="0"/>
        <v>17</v>
      </c>
      <c r="B18" s="3" t="s">
        <v>103</v>
      </c>
      <c r="C18" s="4" t="s">
        <v>175</v>
      </c>
      <c r="D18" s="3" t="s">
        <v>250</v>
      </c>
      <c r="E18" s="6"/>
      <c r="F18" s="6"/>
      <c r="G18" s="6"/>
      <c r="H18" s="7" t="s">
        <v>224</v>
      </c>
    </row>
    <row r="19" spans="1:8" x14ac:dyDescent="0.15">
      <c r="A19" s="5">
        <f t="shared" si="0"/>
        <v>18</v>
      </c>
      <c r="B19" s="3" t="s">
        <v>106</v>
      </c>
      <c r="C19" s="4" t="s">
        <v>178</v>
      </c>
      <c r="D19" s="3" t="s">
        <v>251</v>
      </c>
      <c r="E19" s="6"/>
      <c r="F19" s="6"/>
      <c r="G19" s="6"/>
      <c r="H19" s="7" t="s">
        <v>224</v>
      </c>
    </row>
    <row r="20" spans="1:8" x14ac:dyDescent="0.15">
      <c r="A20" s="5">
        <f t="shared" si="0"/>
        <v>19</v>
      </c>
      <c r="B20" s="3" t="s">
        <v>5</v>
      </c>
      <c r="C20" s="4" t="s">
        <v>180</v>
      </c>
      <c r="D20" s="3" t="s">
        <v>252</v>
      </c>
      <c r="E20" s="6"/>
      <c r="F20" s="6"/>
      <c r="G20" s="6"/>
      <c r="H20" s="7" t="s">
        <v>224</v>
      </c>
    </row>
    <row r="21" spans="1:8" x14ac:dyDescent="0.15">
      <c r="A21" s="5">
        <f t="shared" si="0"/>
        <v>20</v>
      </c>
      <c r="B21" s="3" t="s">
        <v>25</v>
      </c>
      <c r="C21" s="4" t="s">
        <v>200</v>
      </c>
      <c r="D21" s="3" t="s">
        <v>253</v>
      </c>
      <c r="E21" s="6"/>
      <c r="F21" s="6"/>
      <c r="G21" s="6"/>
      <c r="H21" s="7" t="s">
        <v>224</v>
      </c>
    </row>
    <row r="22" spans="1:8" x14ac:dyDescent="0.15">
      <c r="A22" s="5">
        <f t="shared" si="0"/>
        <v>21</v>
      </c>
      <c r="B22" s="3" t="s">
        <v>17</v>
      </c>
      <c r="C22" s="4" t="s">
        <v>192</v>
      </c>
      <c r="D22" s="3" t="s">
        <v>254</v>
      </c>
      <c r="E22" s="6"/>
      <c r="F22" s="6"/>
      <c r="G22" s="6"/>
      <c r="H22" s="7" t="s">
        <v>224</v>
      </c>
    </row>
    <row r="23" spans="1:8" x14ac:dyDescent="0.15">
      <c r="A23" s="5">
        <f t="shared" si="0"/>
        <v>22</v>
      </c>
      <c r="B23" s="3" t="s">
        <v>11</v>
      </c>
      <c r="C23" s="4" t="s">
        <v>186</v>
      </c>
      <c r="D23" s="3" t="s">
        <v>255</v>
      </c>
      <c r="E23" s="6"/>
      <c r="F23" s="6"/>
      <c r="G23" s="6"/>
      <c r="H23" s="7" t="s">
        <v>224</v>
      </c>
    </row>
    <row r="24" spans="1:8" x14ac:dyDescent="0.15">
      <c r="A24" s="5">
        <f t="shared" si="0"/>
        <v>23</v>
      </c>
      <c r="B24" s="3" t="s">
        <v>6</v>
      </c>
      <c r="C24" s="4" t="s">
        <v>181</v>
      </c>
      <c r="D24" s="3" t="s">
        <v>256</v>
      </c>
      <c r="E24" s="6"/>
      <c r="F24" s="6"/>
      <c r="G24" s="6"/>
      <c r="H24" s="7" t="s">
        <v>224</v>
      </c>
    </row>
    <row r="25" spans="1:8" x14ac:dyDescent="0.15">
      <c r="A25" s="5">
        <f t="shared" si="0"/>
        <v>24</v>
      </c>
      <c r="B25" s="3" t="s">
        <v>16</v>
      </c>
      <c r="C25" s="4" t="s">
        <v>191</v>
      </c>
      <c r="D25" s="3" t="s">
        <v>257</v>
      </c>
      <c r="E25" s="6"/>
      <c r="F25" s="6"/>
      <c r="G25" s="6"/>
      <c r="H25" s="7" t="s">
        <v>224</v>
      </c>
    </row>
    <row r="26" spans="1:8" x14ac:dyDescent="0.15">
      <c r="A26" s="5">
        <f t="shared" si="0"/>
        <v>25</v>
      </c>
      <c r="B26" s="3" t="s">
        <v>14</v>
      </c>
      <c r="C26" s="4" t="s">
        <v>189</v>
      </c>
      <c r="D26" s="3" t="s">
        <v>258</v>
      </c>
      <c r="E26" s="6"/>
      <c r="F26" s="6"/>
      <c r="G26" s="6"/>
      <c r="H26" s="7" t="s">
        <v>350</v>
      </c>
    </row>
    <row r="27" spans="1:8" x14ac:dyDescent="0.15">
      <c r="A27" s="5">
        <f t="shared" si="0"/>
        <v>26</v>
      </c>
      <c r="B27" s="3" t="s">
        <v>26</v>
      </c>
      <c r="C27" s="4" t="s">
        <v>201</v>
      </c>
      <c r="D27" s="3" t="s">
        <v>259</v>
      </c>
      <c r="E27" s="6"/>
      <c r="F27" s="6"/>
      <c r="G27" s="6"/>
      <c r="H27" s="7" t="s">
        <v>224</v>
      </c>
    </row>
    <row r="28" spans="1:8" x14ac:dyDescent="0.15">
      <c r="A28" s="5">
        <f t="shared" si="0"/>
        <v>27</v>
      </c>
      <c r="B28" s="3" t="s">
        <v>22</v>
      </c>
      <c r="C28" s="4" t="s">
        <v>197</v>
      </c>
      <c r="D28" s="3" t="s">
        <v>260</v>
      </c>
      <c r="E28" s="6"/>
      <c r="F28" s="6"/>
      <c r="G28" s="6"/>
      <c r="H28" s="7" t="s">
        <v>224</v>
      </c>
    </row>
    <row r="29" spans="1:8" x14ac:dyDescent="0.15">
      <c r="A29" s="5">
        <f t="shared" si="0"/>
        <v>28</v>
      </c>
      <c r="B29" s="3" t="s">
        <v>27</v>
      </c>
      <c r="C29" s="4" t="s">
        <v>202</v>
      </c>
      <c r="D29" s="3" t="s">
        <v>261</v>
      </c>
      <c r="E29" s="6"/>
      <c r="F29" s="6"/>
      <c r="G29" s="6"/>
      <c r="H29" s="7" t="s">
        <v>224</v>
      </c>
    </row>
    <row r="30" spans="1:8" x14ac:dyDescent="0.15">
      <c r="A30" s="5">
        <f t="shared" si="0"/>
        <v>29</v>
      </c>
      <c r="B30" s="3" t="s">
        <v>8</v>
      </c>
      <c r="C30" s="4" t="s">
        <v>185</v>
      </c>
      <c r="D30" s="3" t="s">
        <v>262</v>
      </c>
      <c r="E30" s="6"/>
      <c r="F30" s="6"/>
      <c r="G30" s="6"/>
      <c r="H30" s="7" t="s">
        <v>224</v>
      </c>
    </row>
    <row r="31" spans="1:8" x14ac:dyDescent="0.15">
      <c r="A31" s="5">
        <f t="shared" si="0"/>
        <v>30</v>
      </c>
      <c r="B31" s="3" t="s">
        <v>28</v>
      </c>
      <c r="C31" s="4" t="s">
        <v>203</v>
      </c>
      <c r="D31" s="3" t="s">
        <v>263</v>
      </c>
      <c r="E31" s="6"/>
      <c r="F31" s="6"/>
      <c r="G31" s="6"/>
      <c r="H31" s="7" t="s">
        <v>224</v>
      </c>
    </row>
    <row r="32" spans="1:8" x14ac:dyDescent="0.15">
      <c r="A32" s="5">
        <f t="shared" si="0"/>
        <v>31</v>
      </c>
      <c r="B32" s="3" t="s">
        <v>21</v>
      </c>
      <c r="C32" s="4" t="s">
        <v>196</v>
      </c>
      <c r="D32" s="3" t="s">
        <v>264</v>
      </c>
      <c r="E32" s="6"/>
      <c r="F32" s="6"/>
      <c r="G32" s="6"/>
      <c r="H32" s="7" t="s">
        <v>224</v>
      </c>
    </row>
    <row r="33" spans="1:8" x14ac:dyDescent="0.15">
      <c r="A33" s="5">
        <f t="shared" si="0"/>
        <v>32</v>
      </c>
      <c r="B33" s="3" t="s">
        <v>15</v>
      </c>
      <c r="C33" s="4" t="s">
        <v>190</v>
      </c>
      <c r="D33" s="3" t="s">
        <v>265</v>
      </c>
      <c r="E33" s="6"/>
      <c r="F33" s="6"/>
      <c r="G33" s="6"/>
      <c r="H33" s="7" t="s">
        <v>224</v>
      </c>
    </row>
    <row r="34" spans="1:8" x14ac:dyDescent="0.15">
      <c r="A34" s="5">
        <f t="shared" si="0"/>
        <v>33</v>
      </c>
      <c r="B34" s="3" t="s">
        <v>24</v>
      </c>
      <c r="C34" s="4" t="s">
        <v>199</v>
      </c>
      <c r="D34" s="3" t="s">
        <v>266</v>
      </c>
      <c r="E34" s="6"/>
      <c r="F34" s="6"/>
      <c r="G34" s="6"/>
      <c r="H34" s="7" t="s">
        <v>224</v>
      </c>
    </row>
    <row r="35" spans="1:8" x14ac:dyDescent="0.15">
      <c r="A35" s="5">
        <f t="shared" si="0"/>
        <v>34</v>
      </c>
      <c r="B35" s="3" t="s">
        <v>12</v>
      </c>
      <c r="C35" s="4" t="s">
        <v>187</v>
      </c>
      <c r="D35" s="3" t="s">
        <v>267</v>
      </c>
      <c r="E35" s="6"/>
      <c r="F35" s="6"/>
      <c r="G35" s="6"/>
      <c r="H35" s="7" t="s">
        <v>224</v>
      </c>
    </row>
    <row r="36" spans="1:8" x14ac:dyDescent="0.15">
      <c r="A36" s="5">
        <f t="shared" si="0"/>
        <v>35</v>
      </c>
      <c r="B36" s="3" t="s">
        <v>4</v>
      </c>
      <c r="C36" s="4" t="s">
        <v>179</v>
      </c>
      <c r="D36" s="3" t="s">
        <v>268</v>
      </c>
      <c r="E36" s="6"/>
      <c r="F36" s="6"/>
      <c r="G36" s="6"/>
      <c r="H36" s="7" t="s">
        <v>224</v>
      </c>
    </row>
    <row r="37" spans="1:8" x14ac:dyDescent="0.15">
      <c r="A37" s="5">
        <f t="shared" si="0"/>
        <v>36</v>
      </c>
      <c r="B37" s="3" t="s">
        <v>18</v>
      </c>
      <c r="C37" s="4" t="s">
        <v>193</v>
      </c>
      <c r="D37" s="3" t="s">
        <v>269</v>
      </c>
      <c r="E37" s="6"/>
      <c r="F37" s="6"/>
      <c r="G37" s="6"/>
      <c r="H37" s="7" t="s">
        <v>224</v>
      </c>
    </row>
    <row r="38" spans="1:8" x14ac:dyDescent="0.15">
      <c r="A38" s="5">
        <f t="shared" si="0"/>
        <v>37</v>
      </c>
      <c r="B38" s="3" t="s">
        <v>216</v>
      </c>
      <c r="C38" s="4" t="s">
        <v>217</v>
      </c>
      <c r="D38" s="3" t="s">
        <v>270</v>
      </c>
      <c r="E38" s="6"/>
      <c r="F38" s="6"/>
      <c r="G38" s="6"/>
      <c r="H38" s="7" t="s">
        <v>224</v>
      </c>
    </row>
    <row r="39" spans="1:8" x14ac:dyDescent="0.15">
      <c r="A39" s="5">
        <f t="shared" si="0"/>
        <v>38</v>
      </c>
      <c r="B39" s="3" t="s">
        <v>34</v>
      </c>
      <c r="C39" s="4" t="s">
        <v>207</v>
      </c>
      <c r="D39" s="3" t="s">
        <v>271</v>
      </c>
      <c r="E39" s="6"/>
      <c r="F39" s="6"/>
      <c r="G39" s="6"/>
      <c r="H39" s="7" t="s">
        <v>224</v>
      </c>
    </row>
    <row r="40" spans="1:8" x14ac:dyDescent="0.15">
      <c r="A40" s="5">
        <f t="shared" si="0"/>
        <v>39</v>
      </c>
      <c r="B40" s="3" t="s">
        <v>48</v>
      </c>
      <c r="C40" s="4" t="s">
        <v>137</v>
      </c>
      <c r="D40" s="3" t="s">
        <v>272</v>
      </c>
      <c r="E40" s="6"/>
      <c r="F40" s="6"/>
      <c r="G40" s="6"/>
      <c r="H40" s="7" t="s">
        <v>224</v>
      </c>
    </row>
    <row r="41" spans="1:8" x14ac:dyDescent="0.15">
      <c r="A41" s="5">
        <f t="shared" si="0"/>
        <v>40</v>
      </c>
      <c r="B41" s="3" t="s">
        <v>40</v>
      </c>
      <c r="C41" s="4" t="s">
        <v>129</v>
      </c>
      <c r="D41" s="3" t="s">
        <v>273</v>
      </c>
      <c r="E41" s="6"/>
      <c r="F41" s="6"/>
      <c r="G41" s="6"/>
      <c r="H41" s="7" t="s">
        <v>224</v>
      </c>
    </row>
    <row r="42" spans="1:8" x14ac:dyDescent="0.15">
      <c r="A42" s="5">
        <f t="shared" si="0"/>
        <v>41</v>
      </c>
      <c r="B42" s="3" t="s">
        <v>59</v>
      </c>
      <c r="C42" s="4" t="s">
        <v>148</v>
      </c>
      <c r="D42" s="3" t="s">
        <v>274</v>
      </c>
      <c r="E42" s="6"/>
      <c r="F42" s="6"/>
      <c r="G42" s="6"/>
      <c r="H42" s="7" t="s">
        <v>224</v>
      </c>
    </row>
    <row r="43" spans="1:8" x14ac:dyDescent="0.15">
      <c r="A43" s="5">
        <f t="shared" si="0"/>
        <v>42</v>
      </c>
      <c r="B43" s="3" t="s">
        <v>39</v>
      </c>
      <c r="C43" s="4" t="s">
        <v>214</v>
      </c>
      <c r="D43" s="3" t="s">
        <v>275</v>
      </c>
      <c r="E43" s="6"/>
      <c r="F43" s="6"/>
      <c r="G43" s="6"/>
      <c r="H43" s="7" t="s">
        <v>224</v>
      </c>
    </row>
    <row r="44" spans="1:8" x14ac:dyDescent="0.15">
      <c r="A44" s="5">
        <f t="shared" si="0"/>
        <v>43</v>
      </c>
      <c r="B44" s="3" t="s">
        <v>53</v>
      </c>
      <c r="C44" s="4" t="s">
        <v>142</v>
      </c>
      <c r="D44" s="3" t="s">
        <v>276</v>
      </c>
      <c r="E44" s="6"/>
      <c r="F44" s="6"/>
      <c r="G44" s="6"/>
      <c r="H44" s="7" t="s">
        <v>224</v>
      </c>
    </row>
    <row r="45" spans="1:8" x14ac:dyDescent="0.15">
      <c r="A45" s="5">
        <f t="shared" si="0"/>
        <v>44</v>
      </c>
      <c r="B45" s="3" t="s">
        <v>54</v>
      </c>
      <c r="C45" s="4" t="s">
        <v>143</v>
      </c>
      <c r="D45" s="3" t="s">
        <v>277</v>
      </c>
      <c r="E45" s="6"/>
      <c r="F45" s="6"/>
      <c r="G45" s="6"/>
      <c r="H45" s="7" t="s">
        <v>224</v>
      </c>
    </row>
    <row r="46" spans="1:8" x14ac:dyDescent="0.15">
      <c r="A46" s="5">
        <f t="shared" si="0"/>
        <v>45</v>
      </c>
      <c r="B46" s="3" t="s">
        <v>38</v>
      </c>
      <c r="C46" s="4" t="s">
        <v>128</v>
      </c>
      <c r="D46" s="3" t="s">
        <v>278</v>
      </c>
      <c r="E46" s="6"/>
      <c r="F46" s="6"/>
      <c r="G46" s="6"/>
      <c r="H46" s="7" t="s">
        <v>224</v>
      </c>
    </row>
    <row r="47" spans="1:8" x14ac:dyDescent="0.15">
      <c r="A47" s="5">
        <f t="shared" si="0"/>
        <v>46</v>
      </c>
      <c r="B47" s="3" t="s">
        <v>55</v>
      </c>
      <c r="C47" s="4" t="s">
        <v>144</v>
      </c>
      <c r="D47" s="3" t="s">
        <v>279</v>
      </c>
      <c r="E47" s="6"/>
      <c r="F47" s="6"/>
      <c r="G47" s="6"/>
      <c r="H47" s="7" t="s">
        <v>224</v>
      </c>
    </row>
    <row r="48" spans="1:8" x14ac:dyDescent="0.15">
      <c r="A48" s="5">
        <f t="shared" si="0"/>
        <v>47</v>
      </c>
      <c r="B48" s="3" t="s">
        <v>47</v>
      </c>
      <c r="C48" s="4" t="s">
        <v>136</v>
      </c>
      <c r="D48" s="3" t="s">
        <v>280</v>
      </c>
      <c r="E48" s="6"/>
      <c r="F48" s="6"/>
      <c r="G48" s="6"/>
      <c r="H48" s="7" t="s">
        <v>224</v>
      </c>
    </row>
    <row r="49" spans="1:8" x14ac:dyDescent="0.15">
      <c r="A49" s="5">
        <f t="shared" si="0"/>
        <v>48</v>
      </c>
      <c r="B49" s="3" t="s">
        <v>57</v>
      </c>
      <c r="C49" s="4" t="s">
        <v>146</v>
      </c>
      <c r="D49" s="3" t="s">
        <v>281</v>
      </c>
      <c r="E49" s="6"/>
      <c r="F49" s="6"/>
      <c r="G49" s="6"/>
      <c r="H49" s="7" t="s">
        <v>224</v>
      </c>
    </row>
    <row r="50" spans="1:8" x14ac:dyDescent="0.15">
      <c r="A50" s="5">
        <f t="shared" si="0"/>
        <v>49</v>
      </c>
      <c r="B50" s="3" t="s">
        <v>51</v>
      </c>
      <c r="C50" s="4" t="s">
        <v>140</v>
      </c>
      <c r="D50" s="3" t="s">
        <v>282</v>
      </c>
      <c r="E50" s="6"/>
      <c r="F50" s="6"/>
      <c r="G50" s="6"/>
      <c r="H50" s="7" t="s">
        <v>224</v>
      </c>
    </row>
    <row r="51" spans="1:8" x14ac:dyDescent="0.15">
      <c r="A51" s="5">
        <f t="shared" si="0"/>
        <v>50</v>
      </c>
      <c r="B51" s="3" t="s">
        <v>43</v>
      </c>
      <c r="C51" s="4" t="s">
        <v>132</v>
      </c>
      <c r="D51" s="3" t="s">
        <v>283</v>
      </c>
      <c r="E51" s="6"/>
      <c r="F51" s="6"/>
      <c r="G51" s="6"/>
      <c r="H51" s="7" t="s">
        <v>224</v>
      </c>
    </row>
    <row r="52" spans="1:8" x14ac:dyDescent="0.15">
      <c r="A52" s="5">
        <f t="shared" si="0"/>
        <v>51</v>
      </c>
      <c r="B52" s="3" t="s">
        <v>45</v>
      </c>
      <c r="C52" s="4" t="s">
        <v>134</v>
      </c>
      <c r="D52" s="3" t="s">
        <v>284</v>
      </c>
      <c r="E52" s="6"/>
      <c r="F52" s="6"/>
      <c r="G52" s="6"/>
      <c r="H52" s="7" t="s">
        <v>224</v>
      </c>
    </row>
    <row r="53" spans="1:8" x14ac:dyDescent="0.15">
      <c r="A53" s="5">
        <f t="shared" si="0"/>
        <v>52</v>
      </c>
      <c r="B53" s="3" t="s">
        <v>50</v>
      </c>
      <c r="C53" s="4" t="s">
        <v>139</v>
      </c>
      <c r="D53" s="3" t="s">
        <v>285</v>
      </c>
      <c r="E53" s="6"/>
      <c r="F53" s="6"/>
      <c r="G53" s="6"/>
      <c r="H53" s="7" t="s">
        <v>224</v>
      </c>
    </row>
    <row r="54" spans="1:8" x14ac:dyDescent="0.15">
      <c r="A54" s="5">
        <f t="shared" si="0"/>
        <v>53</v>
      </c>
      <c r="B54" s="3" t="s">
        <v>52</v>
      </c>
      <c r="C54" s="4" t="s">
        <v>141</v>
      </c>
      <c r="D54" s="3" t="s">
        <v>286</v>
      </c>
      <c r="E54" s="6"/>
      <c r="F54" s="6"/>
      <c r="G54" s="6"/>
      <c r="H54" s="7" t="s">
        <v>224</v>
      </c>
    </row>
    <row r="55" spans="1:8" x14ac:dyDescent="0.15">
      <c r="A55" s="5">
        <f t="shared" si="0"/>
        <v>54</v>
      </c>
      <c r="B55" s="3" t="s">
        <v>37</v>
      </c>
      <c r="C55" s="4" t="s">
        <v>127</v>
      </c>
      <c r="D55" s="3" t="s">
        <v>287</v>
      </c>
      <c r="E55" s="6"/>
      <c r="F55" s="6"/>
      <c r="G55" s="6"/>
      <c r="H55" s="7" t="s">
        <v>224</v>
      </c>
    </row>
    <row r="56" spans="1:8" x14ac:dyDescent="0.15">
      <c r="A56" s="5">
        <f t="shared" si="0"/>
        <v>55</v>
      </c>
      <c r="B56" s="3" t="s">
        <v>35</v>
      </c>
      <c r="C56" s="4" t="s">
        <v>208</v>
      </c>
      <c r="D56" s="3" t="s">
        <v>288</v>
      </c>
      <c r="E56" s="6"/>
      <c r="F56" s="6"/>
      <c r="G56" s="6"/>
      <c r="H56" s="7" t="s">
        <v>224</v>
      </c>
    </row>
    <row r="57" spans="1:8" x14ac:dyDescent="0.15">
      <c r="A57" s="5">
        <f t="shared" si="0"/>
        <v>56</v>
      </c>
      <c r="B57" s="3" t="s">
        <v>41</v>
      </c>
      <c r="C57" s="4" t="s">
        <v>130</v>
      </c>
      <c r="D57" s="3" t="s">
        <v>289</v>
      </c>
      <c r="E57" s="6"/>
      <c r="F57" s="6"/>
      <c r="G57" s="6"/>
      <c r="H57" s="7" t="s">
        <v>224</v>
      </c>
    </row>
    <row r="58" spans="1:8" x14ac:dyDescent="0.15">
      <c r="A58" s="5">
        <f t="shared" si="0"/>
        <v>57</v>
      </c>
      <c r="B58" s="3" t="s">
        <v>76</v>
      </c>
      <c r="C58" s="3" t="s">
        <v>123</v>
      </c>
      <c r="D58" s="3" t="s">
        <v>290</v>
      </c>
      <c r="E58" s="6"/>
      <c r="F58" s="6"/>
      <c r="G58" s="6"/>
      <c r="H58" s="7" t="s">
        <v>224</v>
      </c>
    </row>
    <row r="59" spans="1:8" x14ac:dyDescent="0.15">
      <c r="A59" s="5">
        <f t="shared" si="0"/>
        <v>58</v>
      </c>
      <c r="B59" s="3" t="s">
        <v>64</v>
      </c>
      <c r="C59" s="3" t="s">
        <v>111</v>
      </c>
      <c r="D59" s="3" t="s">
        <v>291</v>
      </c>
      <c r="E59" s="6"/>
      <c r="F59" s="6"/>
      <c r="G59" s="6"/>
      <c r="H59" s="7" t="s">
        <v>224</v>
      </c>
    </row>
    <row r="60" spans="1:8" x14ac:dyDescent="0.15">
      <c r="A60" s="5">
        <f t="shared" si="0"/>
        <v>59</v>
      </c>
      <c r="B60" s="3" t="s">
        <v>60</v>
      </c>
      <c r="C60" s="3" t="s">
        <v>107</v>
      </c>
      <c r="D60" s="3" t="s">
        <v>292</v>
      </c>
      <c r="E60" s="6"/>
      <c r="F60" s="6"/>
      <c r="G60" s="6"/>
      <c r="H60" s="7" t="s">
        <v>224</v>
      </c>
    </row>
    <row r="61" spans="1:8" x14ac:dyDescent="0.15">
      <c r="A61" s="5">
        <f t="shared" si="0"/>
        <v>60</v>
      </c>
      <c r="B61" s="3" t="s">
        <v>63</v>
      </c>
      <c r="C61" s="3" t="s">
        <v>110</v>
      </c>
      <c r="D61" s="3" t="s">
        <v>293</v>
      </c>
      <c r="E61" s="6"/>
      <c r="F61" s="6"/>
      <c r="G61" s="6"/>
      <c r="H61" s="7" t="s">
        <v>224</v>
      </c>
    </row>
    <row r="62" spans="1:8" x14ac:dyDescent="0.15">
      <c r="A62" s="5">
        <f t="shared" si="0"/>
        <v>61</v>
      </c>
      <c r="B62" s="3" t="s">
        <v>61</v>
      </c>
      <c r="C62" s="3" t="s">
        <v>108</v>
      </c>
      <c r="D62" s="3" t="s">
        <v>294</v>
      </c>
      <c r="E62" s="6"/>
      <c r="F62" s="6"/>
      <c r="G62" s="6"/>
      <c r="H62" s="7" t="s">
        <v>224</v>
      </c>
    </row>
    <row r="63" spans="1:8" x14ac:dyDescent="0.15">
      <c r="A63" s="5">
        <f t="shared" si="0"/>
        <v>62</v>
      </c>
      <c r="B63" s="3" t="s">
        <v>75</v>
      </c>
      <c r="C63" s="3" t="s">
        <v>122</v>
      </c>
      <c r="D63" s="3" t="s">
        <v>295</v>
      </c>
      <c r="E63" s="6"/>
      <c r="F63" s="6"/>
      <c r="G63" s="6"/>
      <c r="H63" s="7" t="s">
        <v>224</v>
      </c>
    </row>
    <row r="64" spans="1:8" x14ac:dyDescent="0.15">
      <c r="A64" s="5">
        <f t="shared" si="0"/>
        <v>63</v>
      </c>
      <c r="B64" s="3" t="s">
        <v>85</v>
      </c>
      <c r="C64" s="4" t="s">
        <v>157</v>
      </c>
      <c r="D64" s="3" t="s">
        <v>296</v>
      </c>
      <c r="E64" s="6"/>
      <c r="F64" s="6"/>
      <c r="G64" s="6"/>
      <c r="H64" s="7" t="s">
        <v>224</v>
      </c>
    </row>
    <row r="65" spans="1:8" x14ac:dyDescent="0.15">
      <c r="A65" s="5">
        <f t="shared" si="0"/>
        <v>64</v>
      </c>
      <c r="B65" s="3" t="s">
        <v>86</v>
      </c>
      <c r="C65" s="4" t="s">
        <v>158</v>
      </c>
      <c r="D65" s="3" t="s">
        <v>297</v>
      </c>
      <c r="E65" s="6"/>
      <c r="F65" s="6"/>
      <c r="G65" s="6"/>
      <c r="H65" s="7" t="s">
        <v>224</v>
      </c>
    </row>
    <row r="66" spans="1:8" x14ac:dyDescent="0.15">
      <c r="A66" s="5">
        <f t="shared" si="0"/>
        <v>65</v>
      </c>
      <c r="B66" s="3" t="s">
        <v>81</v>
      </c>
      <c r="C66" s="4" t="s">
        <v>153</v>
      </c>
      <c r="D66" s="3" t="s">
        <v>298</v>
      </c>
      <c r="E66" s="6"/>
      <c r="F66" s="6"/>
      <c r="G66" s="6"/>
      <c r="H66" s="7" t="s">
        <v>224</v>
      </c>
    </row>
    <row r="67" spans="1:8" x14ac:dyDescent="0.15">
      <c r="A67" s="5">
        <f t="shared" si="0"/>
        <v>66</v>
      </c>
      <c r="B67" s="3" t="s">
        <v>84</v>
      </c>
      <c r="C67" s="4" t="s">
        <v>156</v>
      </c>
      <c r="D67" s="3" t="s">
        <v>299</v>
      </c>
      <c r="E67" s="6"/>
      <c r="F67" s="6"/>
      <c r="G67" s="6"/>
      <c r="H67" s="7" t="s">
        <v>224</v>
      </c>
    </row>
    <row r="68" spans="1:8" x14ac:dyDescent="0.15">
      <c r="A68" s="5">
        <f t="shared" ref="A68:A106" si="1">A67+1</f>
        <v>67</v>
      </c>
      <c r="B68" s="3" t="s">
        <v>82</v>
      </c>
      <c r="C68" s="4" t="s">
        <v>154</v>
      </c>
      <c r="D68" s="3" t="s">
        <v>300</v>
      </c>
      <c r="E68" s="6"/>
      <c r="F68" s="6"/>
      <c r="G68" s="6"/>
      <c r="H68" s="7" t="s">
        <v>224</v>
      </c>
    </row>
    <row r="69" spans="1:8" x14ac:dyDescent="0.15">
      <c r="A69" s="5">
        <f t="shared" si="1"/>
        <v>68</v>
      </c>
      <c r="B69" s="3" t="s">
        <v>83</v>
      </c>
      <c r="C69" s="4" t="s">
        <v>155</v>
      </c>
      <c r="D69" s="3" t="s">
        <v>301</v>
      </c>
      <c r="E69" s="6"/>
      <c r="F69" s="6"/>
      <c r="G69" s="6"/>
      <c r="H69" s="7" t="s">
        <v>224</v>
      </c>
    </row>
    <row r="70" spans="1:8" x14ac:dyDescent="0.15">
      <c r="A70" s="5">
        <f t="shared" si="1"/>
        <v>69</v>
      </c>
      <c r="B70" s="3" t="s">
        <v>31</v>
      </c>
      <c r="C70" s="4" t="s">
        <v>206</v>
      </c>
      <c r="D70" s="3" t="s">
        <v>302</v>
      </c>
      <c r="E70" s="6"/>
      <c r="F70" s="6"/>
      <c r="G70" s="6"/>
      <c r="H70" s="7" t="s">
        <v>224</v>
      </c>
    </row>
    <row r="71" spans="1:8" x14ac:dyDescent="0.15">
      <c r="A71" s="5">
        <f t="shared" si="1"/>
        <v>70</v>
      </c>
      <c r="B71" s="3" t="s">
        <v>29</v>
      </c>
      <c r="C71" s="4" t="s">
        <v>204</v>
      </c>
      <c r="D71" s="3" t="s">
        <v>303</v>
      </c>
      <c r="E71" s="6"/>
      <c r="F71" s="6"/>
      <c r="G71" s="6"/>
      <c r="H71" s="7" t="s">
        <v>224</v>
      </c>
    </row>
    <row r="72" spans="1:8" x14ac:dyDescent="0.15">
      <c r="A72" s="5">
        <f t="shared" si="1"/>
        <v>71</v>
      </c>
      <c r="B72" s="3" t="s">
        <v>30</v>
      </c>
      <c r="C72" s="4" t="s">
        <v>205</v>
      </c>
      <c r="D72" s="3" t="s">
        <v>304</v>
      </c>
      <c r="E72" s="6"/>
      <c r="F72" s="6"/>
      <c r="G72" s="6"/>
      <c r="H72" s="7" t="s">
        <v>224</v>
      </c>
    </row>
    <row r="73" spans="1:8" x14ac:dyDescent="0.15">
      <c r="A73" s="5">
        <f t="shared" si="1"/>
        <v>72</v>
      </c>
      <c r="B73" s="3" t="s">
        <v>67</v>
      </c>
      <c r="C73" s="3" t="s">
        <v>114</v>
      </c>
      <c r="D73" s="3" t="s">
        <v>305</v>
      </c>
      <c r="E73" s="6"/>
      <c r="F73" s="6"/>
      <c r="G73" s="6"/>
      <c r="H73" s="7" t="s">
        <v>224</v>
      </c>
    </row>
    <row r="74" spans="1:8" x14ac:dyDescent="0.15">
      <c r="A74" s="5">
        <f t="shared" si="1"/>
        <v>73</v>
      </c>
      <c r="B74" s="3" t="s">
        <v>66</v>
      </c>
      <c r="C74" s="3" t="s">
        <v>113</v>
      </c>
      <c r="D74" s="3" t="s">
        <v>306</v>
      </c>
      <c r="E74" s="6"/>
      <c r="F74" s="6"/>
      <c r="G74" s="6"/>
      <c r="H74" s="7" t="s">
        <v>224</v>
      </c>
    </row>
    <row r="75" spans="1:8" x14ac:dyDescent="0.15">
      <c r="A75" s="5">
        <f t="shared" si="1"/>
        <v>74</v>
      </c>
      <c r="B75" s="3" t="s">
        <v>68</v>
      </c>
      <c r="C75" s="3" t="s">
        <v>115</v>
      </c>
      <c r="D75" s="3" t="s">
        <v>307</v>
      </c>
      <c r="E75" s="6"/>
      <c r="F75" s="6"/>
      <c r="G75" s="6"/>
      <c r="H75" s="7" t="s">
        <v>224</v>
      </c>
    </row>
    <row r="76" spans="1:8" x14ac:dyDescent="0.15">
      <c r="A76" s="5">
        <f t="shared" si="1"/>
        <v>75</v>
      </c>
      <c r="B76" s="3" t="s">
        <v>72</v>
      </c>
      <c r="C76" s="3" t="s">
        <v>119</v>
      </c>
      <c r="D76" s="3" t="s">
        <v>308</v>
      </c>
      <c r="E76" s="6"/>
      <c r="F76" s="6"/>
      <c r="G76" s="6"/>
      <c r="H76" s="7" t="s">
        <v>224</v>
      </c>
    </row>
    <row r="77" spans="1:8" x14ac:dyDescent="0.15">
      <c r="A77" s="5">
        <f t="shared" si="1"/>
        <v>76</v>
      </c>
      <c r="B77" s="3" t="s">
        <v>62</v>
      </c>
      <c r="C77" s="3" t="s">
        <v>109</v>
      </c>
      <c r="D77" s="3" t="s">
        <v>309</v>
      </c>
      <c r="E77" s="6"/>
      <c r="F77" s="6"/>
      <c r="G77" s="6"/>
      <c r="H77" s="7" t="s">
        <v>224</v>
      </c>
    </row>
    <row r="78" spans="1:8" x14ac:dyDescent="0.15">
      <c r="A78" s="5">
        <f t="shared" si="1"/>
        <v>77</v>
      </c>
      <c r="B78" s="3" t="s">
        <v>65</v>
      </c>
      <c r="C78" s="3" t="s">
        <v>112</v>
      </c>
      <c r="D78" s="3" t="s">
        <v>310</v>
      </c>
      <c r="E78" s="6"/>
      <c r="F78" s="6"/>
      <c r="G78" s="6"/>
      <c r="H78" s="7" t="s">
        <v>224</v>
      </c>
    </row>
    <row r="79" spans="1:8" x14ac:dyDescent="0.15">
      <c r="A79" s="5">
        <f t="shared" si="1"/>
        <v>78</v>
      </c>
      <c r="B79" s="3" t="s">
        <v>70</v>
      </c>
      <c r="C79" s="3" t="s">
        <v>117</v>
      </c>
      <c r="D79" s="3" t="s">
        <v>311</v>
      </c>
      <c r="E79" s="6"/>
      <c r="F79" s="6"/>
      <c r="G79" s="6"/>
      <c r="H79" s="7" t="s">
        <v>224</v>
      </c>
    </row>
    <row r="80" spans="1:8" x14ac:dyDescent="0.15">
      <c r="A80" s="5">
        <f t="shared" si="1"/>
        <v>79</v>
      </c>
      <c r="B80" s="3" t="s">
        <v>69</v>
      </c>
      <c r="C80" s="3" t="s">
        <v>116</v>
      </c>
      <c r="D80" s="3" t="s">
        <v>312</v>
      </c>
      <c r="E80" s="6"/>
      <c r="F80" s="6"/>
      <c r="G80" s="6"/>
      <c r="H80" s="7" t="s">
        <v>224</v>
      </c>
    </row>
    <row r="81" spans="1:8" x14ac:dyDescent="0.15">
      <c r="A81" s="5">
        <f t="shared" si="1"/>
        <v>80</v>
      </c>
      <c r="B81" s="3" t="s">
        <v>97</v>
      </c>
      <c r="C81" s="4" t="s">
        <v>169</v>
      </c>
      <c r="D81" s="3" t="s">
        <v>313</v>
      </c>
      <c r="E81" s="6"/>
      <c r="F81" s="6"/>
      <c r="G81" s="6"/>
      <c r="H81" s="7" t="s">
        <v>224</v>
      </c>
    </row>
    <row r="82" spans="1:8" x14ac:dyDescent="0.15">
      <c r="A82" s="5">
        <f t="shared" si="1"/>
        <v>81</v>
      </c>
      <c r="B82" s="3" t="s">
        <v>88</v>
      </c>
      <c r="C82" s="4" t="s">
        <v>160</v>
      </c>
      <c r="D82" s="3" t="s">
        <v>314</v>
      </c>
      <c r="E82" s="6"/>
      <c r="F82" s="6"/>
      <c r="G82" s="6"/>
      <c r="H82" s="7" t="s">
        <v>224</v>
      </c>
    </row>
    <row r="83" spans="1:8" x14ac:dyDescent="0.15">
      <c r="A83" s="5">
        <f t="shared" si="1"/>
        <v>82</v>
      </c>
      <c r="B83" s="3" t="s">
        <v>91</v>
      </c>
      <c r="C83" s="4" t="s">
        <v>163</v>
      </c>
      <c r="D83" s="3" t="s">
        <v>315</v>
      </c>
      <c r="E83" s="6"/>
      <c r="F83" s="6"/>
      <c r="G83" s="6"/>
      <c r="H83" s="7" t="s">
        <v>224</v>
      </c>
    </row>
    <row r="84" spans="1:8" x14ac:dyDescent="0.15">
      <c r="A84" s="5">
        <f t="shared" si="1"/>
        <v>83</v>
      </c>
      <c r="B84" s="3" t="s">
        <v>101</v>
      </c>
      <c r="C84" s="4" t="s">
        <v>173</v>
      </c>
      <c r="D84" s="3" t="s">
        <v>316</v>
      </c>
      <c r="E84" s="6"/>
      <c r="F84" s="6"/>
      <c r="G84" s="6"/>
      <c r="H84" s="7" t="s">
        <v>224</v>
      </c>
    </row>
    <row r="85" spans="1:8" x14ac:dyDescent="0.15">
      <c r="A85" s="5">
        <f t="shared" si="1"/>
        <v>84</v>
      </c>
      <c r="B85" s="3" t="s">
        <v>98</v>
      </c>
      <c r="C85" s="4" t="s">
        <v>170</v>
      </c>
      <c r="D85" s="3" t="s">
        <v>317</v>
      </c>
      <c r="E85" s="6"/>
      <c r="F85" s="6"/>
      <c r="G85" s="6"/>
      <c r="H85" s="7" t="s">
        <v>224</v>
      </c>
    </row>
    <row r="86" spans="1:8" x14ac:dyDescent="0.15">
      <c r="A86" s="5">
        <f t="shared" si="1"/>
        <v>85</v>
      </c>
      <c r="B86" s="3" t="s">
        <v>87</v>
      </c>
      <c r="C86" s="4" t="s">
        <v>159</v>
      </c>
      <c r="D86" s="3" t="s">
        <v>318</v>
      </c>
      <c r="E86" s="6"/>
      <c r="F86" s="6"/>
      <c r="G86" s="6"/>
      <c r="H86" s="7" t="s">
        <v>224</v>
      </c>
    </row>
    <row r="87" spans="1:8" x14ac:dyDescent="0.15">
      <c r="A87" s="5">
        <f t="shared" si="1"/>
        <v>86</v>
      </c>
      <c r="B87" s="3" t="s">
        <v>32</v>
      </c>
      <c r="C87" s="4" t="s">
        <v>125</v>
      </c>
      <c r="D87" s="3" t="s">
        <v>319</v>
      </c>
      <c r="E87" s="6"/>
      <c r="F87" s="6"/>
      <c r="G87" s="6"/>
      <c r="H87" s="7" t="s">
        <v>224</v>
      </c>
    </row>
    <row r="88" spans="1:8" x14ac:dyDescent="0.15">
      <c r="A88" s="5">
        <f t="shared" si="1"/>
        <v>87</v>
      </c>
      <c r="B88" s="3" t="s">
        <v>33</v>
      </c>
      <c r="C88" s="4" t="s">
        <v>126</v>
      </c>
      <c r="D88" s="3" t="s">
        <v>320</v>
      </c>
      <c r="E88" s="6"/>
      <c r="F88" s="6"/>
      <c r="G88" s="6"/>
      <c r="H88" s="7" t="s">
        <v>224</v>
      </c>
    </row>
    <row r="89" spans="1:8" x14ac:dyDescent="0.15">
      <c r="A89" s="5">
        <f t="shared" si="1"/>
        <v>88</v>
      </c>
      <c r="B89" s="3" t="s">
        <v>7</v>
      </c>
      <c r="C89" s="4" t="s">
        <v>182</v>
      </c>
      <c r="D89" s="3" t="s">
        <v>321</v>
      </c>
      <c r="E89" s="6"/>
      <c r="F89" s="6"/>
      <c r="G89" s="6"/>
      <c r="H89" s="7" t="s">
        <v>224</v>
      </c>
    </row>
    <row r="90" spans="1:8" x14ac:dyDescent="0.15">
      <c r="A90" s="5">
        <f t="shared" si="1"/>
        <v>89</v>
      </c>
      <c r="B90" s="3" t="s">
        <v>19</v>
      </c>
      <c r="C90" s="4" t="s">
        <v>194</v>
      </c>
      <c r="D90" s="3" t="s">
        <v>322</v>
      </c>
      <c r="E90" s="6"/>
      <c r="F90" s="6"/>
      <c r="G90" s="6"/>
      <c r="H90" s="7" t="s">
        <v>224</v>
      </c>
    </row>
    <row r="91" spans="1:8" x14ac:dyDescent="0.15">
      <c r="A91" s="5">
        <f t="shared" si="1"/>
        <v>90</v>
      </c>
      <c r="B91" s="3" t="s">
        <v>9</v>
      </c>
      <c r="C91" s="4" t="s">
        <v>183</v>
      </c>
      <c r="D91" s="3" t="s">
        <v>323</v>
      </c>
      <c r="E91" s="6"/>
      <c r="F91" s="6"/>
      <c r="G91" s="6"/>
      <c r="H91" s="7" t="s">
        <v>224</v>
      </c>
    </row>
    <row r="92" spans="1:8" x14ac:dyDescent="0.15">
      <c r="A92" s="5">
        <f t="shared" si="1"/>
        <v>91</v>
      </c>
      <c r="B92" s="3" t="s">
        <v>10</v>
      </c>
      <c r="C92" s="4" t="s">
        <v>184</v>
      </c>
      <c r="D92" s="3" t="s">
        <v>324</v>
      </c>
      <c r="E92" s="6"/>
      <c r="F92" s="6"/>
      <c r="G92" s="6"/>
      <c r="H92" s="7" t="s">
        <v>224</v>
      </c>
    </row>
    <row r="93" spans="1:8" x14ac:dyDescent="0.15">
      <c r="A93" s="5">
        <f t="shared" si="1"/>
        <v>92</v>
      </c>
      <c r="B93" s="3" t="s">
        <v>13</v>
      </c>
      <c r="C93" s="4" t="s">
        <v>188</v>
      </c>
      <c r="D93" s="3" t="s">
        <v>325</v>
      </c>
      <c r="E93" s="6"/>
      <c r="F93" s="6"/>
      <c r="G93" s="6"/>
      <c r="H93" s="7" t="s">
        <v>224</v>
      </c>
    </row>
    <row r="94" spans="1:8" x14ac:dyDescent="0.15">
      <c r="A94" s="5">
        <f t="shared" si="1"/>
        <v>93</v>
      </c>
      <c r="B94" s="3" t="s">
        <v>23</v>
      </c>
      <c r="C94" s="4" t="s">
        <v>198</v>
      </c>
      <c r="D94" s="3" t="s">
        <v>326</v>
      </c>
      <c r="E94" s="6"/>
      <c r="F94" s="6"/>
      <c r="G94" s="6"/>
      <c r="H94" s="7" t="s">
        <v>224</v>
      </c>
    </row>
    <row r="95" spans="1:8" x14ac:dyDescent="0.15">
      <c r="A95" s="5">
        <f t="shared" si="1"/>
        <v>94</v>
      </c>
      <c r="B95" s="3" t="s">
        <v>20</v>
      </c>
      <c r="C95" s="4" t="s">
        <v>195</v>
      </c>
      <c r="D95" s="3" t="s">
        <v>327</v>
      </c>
      <c r="E95" s="6"/>
      <c r="F95" s="6"/>
      <c r="G95" s="6"/>
      <c r="H95" s="7" t="s">
        <v>224</v>
      </c>
    </row>
    <row r="96" spans="1:8" x14ac:dyDescent="0.15">
      <c r="A96" s="5">
        <f t="shared" si="1"/>
        <v>95</v>
      </c>
      <c r="B96" s="3" t="s">
        <v>49</v>
      </c>
      <c r="C96" s="4" t="s">
        <v>138</v>
      </c>
      <c r="D96" s="3" t="s">
        <v>328</v>
      </c>
      <c r="E96" s="6"/>
      <c r="F96" s="6"/>
      <c r="G96" s="6"/>
      <c r="H96" s="7" t="s">
        <v>224</v>
      </c>
    </row>
    <row r="97" spans="1:8" x14ac:dyDescent="0.15">
      <c r="A97" s="5">
        <f t="shared" si="1"/>
        <v>96</v>
      </c>
      <c r="B97" s="3" t="s">
        <v>42</v>
      </c>
      <c r="C97" s="4" t="s">
        <v>131</v>
      </c>
      <c r="D97" s="3" t="s">
        <v>329</v>
      </c>
      <c r="E97" s="6"/>
      <c r="F97" s="6"/>
      <c r="G97" s="6"/>
      <c r="H97" s="7" t="s">
        <v>224</v>
      </c>
    </row>
    <row r="98" spans="1:8" x14ac:dyDescent="0.15">
      <c r="A98" s="5">
        <f t="shared" si="1"/>
        <v>97</v>
      </c>
      <c r="B98" s="3" t="s">
        <v>56</v>
      </c>
      <c r="C98" s="4" t="s">
        <v>145</v>
      </c>
      <c r="D98" s="3" t="s">
        <v>330</v>
      </c>
      <c r="E98" s="6"/>
      <c r="F98" s="6"/>
      <c r="G98" s="6"/>
      <c r="H98" s="7" t="s">
        <v>224</v>
      </c>
    </row>
    <row r="99" spans="1:8" x14ac:dyDescent="0.15">
      <c r="A99" s="5">
        <f t="shared" si="1"/>
        <v>98</v>
      </c>
      <c r="B99" s="3" t="s">
        <v>46</v>
      </c>
      <c r="C99" s="4" t="s">
        <v>135</v>
      </c>
      <c r="D99" s="3" t="s">
        <v>331</v>
      </c>
      <c r="E99" s="6"/>
      <c r="F99" s="6"/>
      <c r="G99" s="6"/>
      <c r="H99" s="7" t="s">
        <v>224</v>
      </c>
    </row>
    <row r="100" spans="1:8" x14ac:dyDescent="0.15">
      <c r="A100" s="5">
        <f t="shared" si="1"/>
        <v>99</v>
      </c>
      <c r="B100" s="3" t="s">
        <v>44</v>
      </c>
      <c r="C100" s="4" t="s">
        <v>133</v>
      </c>
      <c r="D100" s="3" t="s">
        <v>332</v>
      </c>
      <c r="E100" s="6"/>
      <c r="F100" s="6"/>
      <c r="G100" s="6"/>
      <c r="H100" s="7" t="s">
        <v>224</v>
      </c>
    </row>
    <row r="101" spans="1:8" x14ac:dyDescent="0.15">
      <c r="A101" s="5">
        <f t="shared" si="1"/>
        <v>100</v>
      </c>
      <c r="B101" s="3" t="s">
        <v>58</v>
      </c>
      <c r="C101" s="4" t="s">
        <v>147</v>
      </c>
      <c r="D101" s="3" t="s">
        <v>333</v>
      </c>
      <c r="E101" s="6"/>
      <c r="F101" s="6"/>
      <c r="G101" s="6"/>
      <c r="H101" s="7" t="s">
        <v>224</v>
      </c>
    </row>
    <row r="102" spans="1:8" x14ac:dyDescent="0.15">
      <c r="A102" s="5">
        <f t="shared" si="1"/>
        <v>101</v>
      </c>
      <c r="B102" s="3" t="s">
        <v>36</v>
      </c>
      <c r="C102" s="4" t="s">
        <v>213</v>
      </c>
      <c r="D102" s="3" t="s">
        <v>334</v>
      </c>
      <c r="E102" s="6"/>
      <c r="F102" s="6"/>
      <c r="G102" s="6"/>
      <c r="H102" s="7" t="s">
        <v>224</v>
      </c>
    </row>
    <row r="103" spans="1:8" x14ac:dyDescent="0.15">
      <c r="A103" s="5">
        <f t="shared" si="1"/>
        <v>102</v>
      </c>
      <c r="B103" s="3" t="s">
        <v>73</v>
      </c>
      <c r="C103" s="3" t="s">
        <v>120</v>
      </c>
      <c r="D103" s="3" t="s">
        <v>335</v>
      </c>
      <c r="E103" s="6"/>
      <c r="F103" s="6"/>
      <c r="G103" s="6"/>
      <c r="H103" s="7" t="s">
        <v>224</v>
      </c>
    </row>
    <row r="104" spans="1:8" x14ac:dyDescent="0.15">
      <c r="A104" s="5">
        <f t="shared" si="1"/>
        <v>103</v>
      </c>
      <c r="B104" s="3" t="s">
        <v>71</v>
      </c>
      <c r="C104" s="3" t="s">
        <v>118</v>
      </c>
      <c r="D104" s="3" t="s">
        <v>336</v>
      </c>
      <c r="E104" s="6"/>
      <c r="F104" s="6"/>
      <c r="G104" s="6"/>
      <c r="H104" s="7" t="s">
        <v>224</v>
      </c>
    </row>
    <row r="105" spans="1:8" x14ac:dyDescent="0.15">
      <c r="A105" s="5">
        <f t="shared" si="1"/>
        <v>104</v>
      </c>
      <c r="B105" s="3" t="s">
        <v>215</v>
      </c>
      <c r="C105" s="3" t="s">
        <v>124</v>
      </c>
      <c r="D105" s="3" t="s">
        <v>337</v>
      </c>
      <c r="E105" s="6"/>
      <c r="F105" s="6"/>
      <c r="G105" s="6"/>
      <c r="H105" s="7" t="s">
        <v>224</v>
      </c>
    </row>
    <row r="106" spans="1:8" x14ac:dyDescent="0.15">
      <c r="A106" s="5">
        <f t="shared" si="1"/>
        <v>105</v>
      </c>
      <c r="B106" s="3" t="s">
        <v>74</v>
      </c>
      <c r="C106" s="3" t="s">
        <v>121</v>
      </c>
      <c r="D106" s="3" t="s">
        <v>338</v>
      </c>
      <c r="E106" s="6"/>
      <c r="F106" s="6"/>
      <c r="G106" s="6"/>
      <c r="H106" s="7" t="s">
        <v>350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工资表</vt:lpstr>
      <vt:lpstr>银行卡号</vt:lpstr>
      <vt:lpstr>补贴标准</vt:lpstr>
      <vt:lpstr>补贴发放表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cp:lastPrinted>2015-08-05T23:28:30Z</cp:lastPrinted>
  <dcterms:created xsi:type="dcterms:W3CDTF">2015-05-21T12:54:23Z</dcterms:created>
  <dcterms:modified xsi:type="dcterms:W3CDTF">2016-07-24T02:27:20Z</dcterms:modified>
</cp:coreProperties>
</file>